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余日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/d"/>
    <numFmt numFmtId="165" formatCode="[BLUE]0;[RED]-0;0"/>
    <numFmt numFmtId="166" formatCode="[COLOR5]0%;[RED]-0%;0%"/>
  </numFmts>
  <fonts count="9">
    <font>
      <name val="Calibri"/>
      <family val="2"/>
      <color theme="1"/>
      <sz val="11"/>
      <scheme val="minor"/>
    </font>
    <font>
      <name val="Arial"/>
      <color theme="1"/>
    </font>
    <font>
      <name val="Arial"/>
      <color rgb="FF000000"/>
      <sz val="10"/>
      <scheme val="minor"/>
    </font>
    <font>
      <name val="Arial"/>
      <b val="1"/>
      <color theme="1"/>
    </font>
    <font>
      <name val="Arial"/>
      <color rgb="FF434343"/>
    </font>
    <font>
      <name val="Arial"/>
      <color rgb="FF9900FF"/>
    </font>
    <font>
      <name val="Arial"/>
      <color rgb="FF0000FF"/>
    </font>
    <font>
      <name val="Arial"/>
      <color rgb="FFFF0000"/>
    </font>
    <font>
      <name val="Arial"/>
      <color rgb="FF00FF00"/>
    </font>
  </fonts>
  <fills count="4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hair">
        <color rgb="FF000000"/>
      </top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2" borderId="2" applyAlignment="1" pivotButton="0" quotePrefix="0" xfId="0">
      <alignment horizontal="center" vertical="bottom"/>
    </xf>
    <xf numFmtId="0" fontId="1" fillId="2" borderId="2" applyAlignment="1" pivotButton="0" quotePrefix="0" xfId="0">
      <alignment vertical="bottom"/>
    </xf>
    <xf numFmtId="0" fontId="3" fillId="2" borderId="2" applyAlignment="1" pivotButton="0" quotePrefix="0" xfId="0">
      <alignment vertical="bottom"/>
    </xf>
    <xf numFmtId="164" fontId="3" fillId="2" borderId="2" applyAlignment="1" pivotButton="0" quotePrefix="0" xfId="0">
      <alignment horizontal="center" vertical="bottom"/>
    </xf>
    <xf numFmtId="0" fontId="1" fillId="0" borderId="3" applyAlignment="1" pivotButton="0" quotePrefix="0" xfId="0">
      <alignment vertical="bottom"/>
    </xf>
    <xf numFmtId="0" fontId="0" fillId="0" borderId="8" pivotButton="0" quotePrefix="0" xfId="0"/>
    <xf numFmtId="3" fontId="4" fillId="0" borderId="3" applyAlignment="1" pivotButton="0" quotePrefix="0" xfId="0">
      <alignment horizontal="right" vertical="bottom"/>
    </xf>
    <xf numFmtId="3" fontId="5" fillId="0" borderId="3" applyAlignment="1" pivotButton="0" quotePrefix="0" xfId="0">
      <alignment vertical="bottom"/>
    </xf>
    <xf numFmtId="3" fontId="6" fillId="0" borderId="3" applyAlignment="1" pivotButton="0" quotePrefix="0" xfId="0">
      <alignment horizontal="right" vertical="bottom"/>
    </xf>
    <xf numFmtId="3" fontId="1" fillId="0" borderId="3" applyAlignment="1" pivotButton="0" quotePrefix="0" xfId="0">
      <alignment vertical="bottom"/>
    </xf>
    <xf numFmtId="3" fontId="4" fillId="0" borderId="1" applyAlignment="1" pivotButton="0" quotePrefix="0" xfId="0">
      <alignment horizontal="right" vertical="bottom"/>
    </xf>
    <xf numFmtId="9" fontId="5" fillId="0" borderId="3" applyAlignment="1" pivotButton="0" quotePrefix="0" xfId="0">
      <alignment vertical="bottom"/>
    </xf>
    <xf numFmtId="9" fontId="4" fillId="0" borderId="3" applyAlignment="1" pivotButton="0" quotePrefix="0" xfId="0">
      <alignment horizontal="right" vertical="bottom"/>
    </xf>
    <xf numFmtId="165" fontId="6" fillId="0" borderId="1" applyAlignment="1" pivotButton="0" quotePrefix="0" xfId="0">
      <alignment horizontal="right" vertical="bottom"/>
    </xf>
    <xf numFmtId="9" fontId="1" fillId="0" borderId="3" applyAlignment="1" pivotButton="0" quotePrefix="0" xfId="0">
      <alignment vertical="bottom"/>
    </xf>
    <xf numFmtId="10" fontId="1" fillId="0" borderId="3" applyAlignment="1" pivotButton="0" quotePrefix="0" xfId="0">
      <alignment horizontal="right" vertical="bottom"/>
    </xf>
    <xf numFmtId="0" fontId="6" fillId="0" borderId="4" applyAlignment="1" pivotButton="0" quotePrefix="0" xfId="0">
      <alignment horizontal="right" vertical="bottom"/>
    </xf>
    <xf numFmtId="165" fontId="6" fillId="0" borderId="4" applyAlignment="1" pivotButton="0" quotePrefix="0" xfId="0">
      <alignment horizontal="right" vertical="bottom"/>
    </xf>
    <xf numFmtId="165" fontId="7" fillId="0" borderId="4" applyAlignment="1" pivotButton="0" quotePrefix="0" xfId="0">
      <alignment horizontal="right" vertical="bottom"/>
    </xf>
    <xf numFmtId="166" fontId="6" fillId="0" borderId="1" applyAlignment="1" pivotButton="0" quotePrefix="0" xfId="0">
      <alignment horizontal="center" vertical="bottom"/>
    </xf>
    <xf numFmtId="166" fontId="6" fillId="0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right" vertical="bottom"/>
    </xf>
    <xf numFmtId="0" fontId="1" fillId="0" borderId="4" applyAlignment="1" pivotButton="0" quotePrefix="0" xfId="0">
      <alignment horizontal="right" vertical="bottom"/>
    </xf>
    <xf numFmtId="0" fontId="1" fillId="0" borderId="3" applyAlignment="1" pivotButton="0" quotePrefix="0" xfId="0">
      <alignment horizontal="right" vertical="bottom"/>
    </xf>
    <xf numFmtId="3" fontId="1" fillId="0" borderId="1" applyAlignment="1" pivotButton="0" quotePrefix="0" xfId="0">
      <alignment horizontal="right" vertical="bottom"/>
    </xf>
    <xf numFmtId="0" fontId="1" fillId="0" borderId="1" applyAlignment="1" pivotButton="0" quotePrefix="0" xfId="0">
      <alignment horizontal="right" vertical="bottom"/>
    </xf>
    <xf numFmtId="3" fontId="7" fillId="0" borderId="3" applyAlignment="1" pivotButton="0" quotePrefix="0" xfId="0">
      <alignment horizontal="right" vertical="bottom"/>
    </xf>
    <xf numFmtId="0" fontId="1" fillId="3" borderId="3" applyAlignment="1" pivotButton="0" quotePrefix="0" xfId="0">
      <alignment vertical="bottom"/>
    </xf>
    <xf numFmtId="9" fontId="8" fillId="0" borderId="3" applyAlignment="1" pivotButton="0" quotePrefix="0" xfId="0">
      <alignment horizontal="right" vertical="bottom"/>
    </xf>
    <xf numFmtId="3" fontId="1" fillId="0" borderId="3" applyAlignment="1" pivotButton="0" quotePrefix="0" xfId="0">
      <alignment horizontal="right" vertical="bottom"/>
    </xf>
    <xf numFmtId="3" fontId="1" fillId="0" borderId="5" applyAlignment="1" pivotButton="0" quotePrefix="0" xfId="0">
      <alignment vertical="bottom"/>
    </xf>
    <xf numFmtId="3" fontId="7" fillId="0" borderId="5" applyAlignment="1" pivotButton="0" quotePrefix="0" xfId="0">
      <alignment horizontal="right" vertical="bottom"/>
    </xf>
    <xf numFmtId="37" fontId="1" fillId="0" borderId="1" applyAlignment="1" pivotButton="0" quotePrefix="0" xfId="0">
      <alignment vertical="bottom"/>
    </xf>
    <xf numFmtId="37" fontId="1" fillId="0" borderId="3" applyAlignment="1" pivotButton="0" quotePrefix="0" xfId="0">
      <alignment vertical="bottom"/>
    </xf>
    <xf numFmtId="37" fontId="1" fillId="0" borderId="5" applyAlignment="1" pivotButton="0" quotePrefix="0" xfId="0">
      <alignment vertical="bottom"/>
    </xf>
    <xf numFmtId="37" fontId="1" fillId="0" borderId="5" applyAlignment="1" pivotButton="0" quotePrefix="0" xfId="0">
      <alignment horizontal="right" vertical="bottom"/>
    </xf>
    <xf numFmtId="1" fontId="1" fillId="0" borderId="1" applyAlignment="1" pivotButton="0" quotePrefix="0" xfId="0">
      <alignment vertical="bottom"/>
    </xf>
    <xf numFmtId="1" fontId="1" fillId="0" borderId="3" applyAlignment="1" pivotButton="0" quotePrefix="0" xfId="0">
      <alignment vertical="bottom"/>
    </xf>
    <xf numFmtId="1" fontId="8" fillId="0" borderId="5" applyAlignment="1" pivotButton="0" quotePrefix="0" xfId="0">
      <alignment horizontal="right" vertical="bottom"/>
    </xf>
    <xf numFmtId="1" fontId="1" fillId="0" borderId="5" applyAlignment="1" pivotButton="0" quotePrefix="0" xfId="0">
      <alignment vertical="bottom"/>
    </xf>
    <xf numFmtId="1" fontId="1" fillId="0" borderId="5" applyAlignment="1" pivotButton="0" quotePrefix="0" xfId="0">
      <alignment horizontal="right" vertical="bottom"/>
    </xf>
    <xf numFmtId="3" fontId="1" fillId="0" borderId="5" applyAlignment="1" pivotButton="0" quotePrefix="0" xfId="0">
      <alignment horizontal="right" vertical="bottom"/>
    </xf>
    <xf numFmtId="9" fontId="1" fillId="0" borderId="5" applyAlignment="1" pivotButton="0" quotePrefix="0" xfId="0">
      <alignment vertical="bottom"/>
    </xf>
    <xf numFmtId="9" fontId="8" fillId="0" borderId="5" applyAlignment="1" pivotButton="0" quotePrefix="0" xfId="0">
      <alignment horizontal="right" vertical="bottom"/>
    </xf>
    <xf numFmtId="37" fontId="8" fillId="0" borderId="5" applyAlignment="1" pivotButton="0" quotePrefix="0" xfId="0">
      <alignment horizontal="right" vertical="bottom"/>
    </xf>
    <xf numFmtId="3" fontId="6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3" fontId="1" fillId="0" borderId="5" applyAlignment="1" pivotButton="0" quotePrefix="0" xfId="0">
      <alignment horizontal="center" vertical="bottom"/>
    </xf>
    <xf numFmtId="0" fontId="1" fillId="0" borderId="2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1" fillId="0" borderId="6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n"/>
      <c r="C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n"/>
      <c r="B2" s="1" t="n"/>
      <c r="C2" s="1" t="n"/>
      <c r="E2" s="1" t="n"/>
      <c r="F2" s="2">
        <f>YEAR(F3)</f>
        <v/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2">
        <f>YEAR(R3)</f>
        <v/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2">
        <f>YEAR(AD3)</f>
        <v/>
      </c>
      <c r="AE2" s="1" t="n"/>
      <c r="AF2" s="1" t="n"/>
      <c r="AG2" s="1" t="n"/>
      <c r="AH2" s="1" t="n"/>
      <c r="AI2" s="1" t="n"/>
    </row>
    <row r="3">
      <c r="A3" s="1" t="n"/>
      <c r="B3" s="3" t="inlineStr">
        <is>
          <t>カテゴリ</t>
        </is>
      </c>
      <c r="C3" s="4" t="n"/>
      <c r="D3" s="3" t="inlineStr">
        <is>
          <t>項目</t>
        </is>
      </c>
      <c r="E3" s="5" t="inlineStr">
        <is>
          <t>項目備考</t>
        </is>
      </c>
      <c r="F3" s="6" t="n">
        <v>46327</v>
      </c>
      <c r="G3" s="6">
        <f>EDATE(F3,1)</f>
        <v/>
      </c>
      <c r="H3" s="6">
        <f>EDATE(G3,1)</f>
        <v/>
      </c>
      <c r="I3" s="6">
        <f>EDATE(H3,1)</f>
        <v/>
      </c>
      <c r="J3" s="6">
        <f>EDATE(I3,1)</f>
        <v/>
      </c>
      <c r="K3" s="6">
        <f>EDATE(J3,1)</f>
        <v/>
      </c>
      <c r="L3" s="6">
        <f>EDATE(K3,1)</f>
        <v/>
      </c>
      <c r="M3" s="6">
        <f>EDATE(L3,1)</f>
        <v/>
      </c>
      <c r="N3" s="6">
        <f>EDATE(M3,1)</f>
        <v/>
      </c>
      <c r="O3" s="6">
        <f>EDATE(N3,1)</f>
        <v/>
      </c>
      <c r="P3" s="6">
        <f>EDATE(O3,1)</f>
        <v/>
      </c>
      <c r="Q3" s="6">
        <f>EDATE(P3,1)</f>
        <v/>
      </c>
      <c r="R3" s="6">
        <f>EDATE(Q3,1)</f>
        <v/>
      </c>
      <c r="S3" s="6">
        <f>EDATE(R3,1)</f>
        <v/>
      </c>
      <c r="T3" s="6">
        <f>EDATE(S3,1)</f>
        <v/>
      </c>
      <c r="U3" s="6">
        <f>EDATE(T3,1)</f>
        <v/>
      </c>
      <c r="V3" s="6">
        <f>EDATE(U3,1)</f>
        <v/>
      </c>
      <c r="W3" s="6">
        <f>EDATE(V3,1)</f>
        <v/>
      </c>
      <c r="X3" s="6">
        <f>EDATE(W3,1)</f>
        <v/>
      </c>
      <c r="Y3" s="6">
        <f>EDATE(X3,1)</f>
        <v/>
      </c>
      <c r="Z3" s="6">
        <f>EDATE(Y3,1)</f>
        <v/>
      </c>
      <c r="AA3" s="6">
        <f>EDATE(Z3,1)</f>
        <v/>
      </c>
      <c r="AB3" s="6">
        <f>EDATE(AA3,1)</f>
        <v/>
      </c>
      <c r="AC3" s="6">
        <f>EDATE(AB3,1)</f>
        <v/>
      </c>
      <c r="AD3" s="6">
        <f>EDATE(AC3,1)</f>
        <v/>
      </c>
      <c r="AE3" s="6">
        <f>EDATE(AD3,1)</f>
        <v/>
      </c>
      <c r="AF3" s="6">
        <f>EDATE(AE3,1)</f>
        <v/>
      </c>
      <c r="AG3" s="6">
        <f>EDATE(AF3,1)</f>
        <v/>
      </c>
      <c r="AH3" s="6">
        <f>EDATE(AG3,1)</f>
        <v/>
      </c>
      <c r="AI3" s="6">
        <f>EDATE(AH3,1)</f>
        <v/>
      </c>
    </row>
    <row r="4">
      <c r="A4" s="1" t="n"/>
      <c r="B4" s="7" t="inlineStr">
        <is>
          <t>KGI</t>
        </is>
      </c>
      <c r="C4" s="7" t="inlineStr">
        <is>
          <t>売上目標</t>
        </is>
      </c>
      <c r="D4" s="8" t="n"/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1" t="n"/>
      <c r="B5" s="1" t="n"/>
      <c r="C5" s="7" t="inlineStr">
        <is>
          <t>固定収入（月額契約など）</t>
        </is>
      </c>
      <c r="D5" s="7" t="n"/>
      <c r="E5" s="10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</row>
    <row r="6">
      <c r="A6" s="1" t="n"/>
      <c r="B6" s="1" t="n"/>
      <c r="C6" s="7" t="inlineStr">
        <is>
          <t>純利益</t>
        </is>
      </c>
      <c r="D6" s="7" t="n"/>
      <c r="E6" s="12" t="n"/>
      <c r="F6" s="12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</row>
    <row r="7">
      <c r="A7" s="1" t="n"/>
      <c r="B7" s="1" t="n"/>
      <c r="C7" s="7" t="inlineStr">
        <is>
          <t>成果報酬率</t>
        </is>
      </c>
      <c r="D7" s="7" t="n"/>
      <c r="E7" s="14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</row>
    <row r="8">
      <c r="A8" s="1" t="n"/>
      <c r="B8" s="1" t="n"/>
      <c r="C8" s="7" t="inlineStr">
        <is>
          <t>売上実質値（実績）</t>
        </is>
      </c>
      <c r="D8" s="8" t="n"/>
      <c r="E8" s="12" t="n"/>
      <c r="F8" s="11" t="n"/>
      <c r="G8" s="16" t="n"/>
      <c r="H8" s="16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7" t="n"/>
      <c r="AE8" s="17" t="n"/>
      <c r="AF8" s="17" t="n"/>
      <c r="AG8" s="17" t="n"/>
      <c r="AH8" s="17" t="n"/>
      <c r="AI8" s="17" t="n"/>
    </row>
    <row r="9">
      <c r="A9" s="1" t="n"/>
      <c r="B9" s="1" t="n"/>
      <c r="C9" s="7" t="n"/>
      <c r="D9" s="7" t="inlineStr">
        <is>
          <t>成長率（前月比）</t>
        </is>
      </c>
      <c r="E9" s="7" t="n"/>
      <c r="F9" s="18" t="n"/>
      <c r="G9" s="18">
        <f>IFERROR(G8/F8-1,"")</f>
        <v/>
      </c>
      <c r="H9" s="18">
        <f>IFERROR(H8/G8-1,"")</f>
        <v/>
      </c>
      <c r="I9" s="18">
        <f>IFERROR(I8/H8-1,"")</f>
        <v/>
      </c>
      <c r="J9" s="18">
        <f>IFERROR(J8/I8-1,"")</f>
        <v/>
      </c>
      <c r="K9" s="18">
        <f>IFERROR(K8/J8-1,"")</f>
        <v/>
      </c>
      <c r="L9" s="18">
        <f>IFERROR(L8/K8-1,"")</f>
        <v/>
      </c>
      <c r="M9" s="18">
        <f>IFERROR(M8/L8-1,"")</f>
        <v/>
      </c>
      <c r="N9" s="18">
        <f>IFERROR(N8/M8-1,"")</f>
        <v/>
      </c>
      <c r="O9" s="18">
        <f>IFERROR(O8/N8-1,"")</f>
        <v/>
      </c>
      <c r="P9" s="18">
        <f>IFERROR(P8/O8-1,"")</f>
        <v/>
      </c>
      <c r="Q9" s="18">
        <f>IFERROR(Q8/P8-1,"")</f>
        <v/>
      </c>
      <c r="R9" s="18">
        <f>IFERROR(R8/Q8-1,"")</f>
        <v/>
      </c>
      <c r="S9" s="18">
        <f>IFERROR(S8/R8-1,"")</f>
        <v/>
      </c>
      <c r="T9" s="18">
        <f>IFERROR(T8/S8-1,"")</f>
        <v/>
      </c>
      <c r="U9" s="18">
        <f>IFERROR(U8/T8-1,"")</f>
        <v/>
      </c>
      <c r="V9" s="18">
        <f>IFERROR(V8/U8-1,"")</f>
        <v/>
      </c>
      <c r="W9" s="18">
        <f>IFERROR(W8/V8-1,"")</f>
        <v/>
      </c>
      <c r="X9" s="18">
        <f>IFERROR(X8/W8-1,"")</f>
        <v/>
      </c>
      <c r="Y9" s="18">
        <f>IFERROR(Y8/X8-1,"")</f>
        <v/>
      </c>
      <c r="Z9" s="18">
        <f>IFERROR(Z8/Y8-1,"")</f>
        <v/>
      </c>
      <c r="AA9" s="18">
        <f>IFERROR(AA8/Z8-1,"")</f>
        <v/>
      </c>
      <c r="AB9" s="18">
        <f>IFERROR(AB8/AA8-1,"")</f>
        <v/>
      </c>
      <c r="AC9" s="18">
        <f>IFERROR(AC8/AB8-1,"")</f>
        <v/>
      </c>
      <c r="AD9" s="12">
        <f>IFERROR(AD8/AC8-1,"")</f>
        <v/>
      </c>
      <c r="AE9" s="12">
        <f>IFERROR(AE8/AD8-1,"")</f>
        <v/>
      </c>
      <c r="AF9" s="12">
        <f>IFERROR(AF8/AE8-1,"")</f>
        <v/>
      </c>
      <c r="AG9" s="12">
        <f>IFERROR(AG8/AF8-1,"")</f>
        <v/>
      </c>
      <c r="AH9" s="12">
        <f>IFERROR(AH8/AG8-1,"")</f>
        <v/>
      </c>
      <c r="AI9" s="12">
        <f>IFERROR(AI8/AH8-1,"")</f>
        <v/>
      </c>
    </row>
    <row r="10">
      <c r="A10" s="1" t="n"/>
      <c r="B10" s="1" t="n"/>
      <c r="C10" s="7" t="n"/>
      <c r="D10" s="7" t="inlineStr">
        <is>
          <t>前月比売上増加額</t>
        </is>
      </c>
      <c r="E10" s="7" t="n"/>
      <c r="F10" s="19" t="n"/>
      <c r="G10" s="20">
        <f>G8-F8</f>
        <v/>
      </c>
      <c r="H10" s="20">
        <f>H8-G8</f>
        <v/>
      </c>
      <c r="I10" s="20">
        <f>I8-H8</f>
        <v/>
      </c>
      <c r="J10" s="20">
        <f>J8-I8</f>
        <v/>
      </c>
      <c r="K10" s="21">
        <f>K8-J8</f>
        <v/>
      </c>
      <c r="L10" s="20">
        <f>L8-K8</f>
        <v/>
      </c>
      <c r="M10" s="20">
        <f>M8-L8</f>
        <v/>
      </c>
      <c r="N10" s="21">
        <f>N8-M8</f>
        <v/>
      </c>
      <c r="O10" s="20">
        <f>O8-N8</f>
        <v/>
      </c>
      <c r="P10" s="20">
        <f>P8-O8</f>
        <v/>
      </c>
      <c r="Q10" s="20">
        <f>Q8-P8</f>
        <v/>
      </c>
      <c r="R10" s="20">
        <f>R8-Q8</f>
        <v/>
      </c>
      <c r="S10" s="20">
        <f>S8-R8</f>
        <v/>
      </c>
      <c r="T10" s="20">
        <f>T8-S8</f>
        <v/>
      </c>
      <c r="U10" s="20">
        <f>U8-T8</f>
        <v/>
      </c>
      <c r="V10" s="20">
        <f>V8-U8</f>
        <v/>
      </c>
      <c r="W10" s="20">
        <f>W8-V8</f>
        <v/>
      </c>
      <c r="X10" s="20">
        <f>X8-W8</f>
        <v/>
      </c>
      <c r="Y10" s="20">
        <f>Y8-X8</f>
        <v/>
      </c>
      <c r="Z10" s="20">
        <f>Z8-Y8</f>
        <v/>
      </c>
      <c r="AA10" s="20">
        <f>AA8-Z8</f>
        <v/>
      </c>
      <c r="AB10" s="20">
        <f>AB8-AA8</f>
        <v/>
      </c>
      <c r="AC10" s="20">
        <f>AC8-AB8</f>
        <v/>
      </c>
      <c r="AD10" s="20">
        <f>AD8-AC8</f>
        <v/>
      </c>
      <c r="AE10" s="20">
        <f>AE8-AD8</f>
        <v/>
      </c>
      <c r="AF10" s="20">
        <f>AF8-AE8</f>
        <v/>
      </c>
      <c r="AG10" s="20">
        <f>AG8-AF8</f>
        <v/>
      </c>
      <c r="AH10" s="20">
        <f>AH8-AG8</f>
        <v/>
      </c>
      <c r="AI10" s="20">
        <f>AI8-AH8</f>
        <v/>
      </c>
    </row>
    <row r="11">
      <c r="A11" s="1" t="n"/>
      <c r="B11" s="1" t="n"/>
      <c r="C11" s="1" t="n"/>
      <c r="D11" s="7" t="inlineStr">
        <is>
          <t>成長率（前年比）</t>
        </is>
      </c>
      <c r="E11" s="7" t="n"/>
      <c r="F11" s="22" t="n"/>
      <c r="G11" s="22" t="n"/>
      <c r="H11" s="23" t="n"/>
      <c r="I11" s="23" t="n"/>
      <c r="J11" s="23" t="n"/>
      <c r="K11" s="23" t="n"/>
      <c r="L11" s="23" t="n"/>
      <c r="M11" s="23" t="n"/>
      <c r="N11" s="23" t="n"/>
      <c r="O11" s="22" t="n"/>
      <c r="P11" s="22" t="n"/>
      <c r="Q11" s="22" t="n"/>
      <c r="R11" s="22">
        <f>IFERROR(R8/F8-1,"")</f>
        <v/>
      </c>
      <c r="S11" s="22">
        <f>IFERROR(S8/G8-1,"")</f>
        <v/>
      </c>
      <c r="T11" s="22">
        <f>IFERROR(T8/H8-1,"")</f>
        <v/>
      </c>
      <c r="U11" s="22">
        <f>IFERROR(U8/I8-1,"")</f>
        <v/>
      </c>
      <c r="V11" s="22">
        <f>IFERROR(V8/J8-1,"")</f>
        <v/>
      </c>
      <c r="W11" s="22">
        <f>IFERROR(W8/K8-1,"")</f>
        <v/>
      </c>
      <c r="X11" s="22">
        <f>IFERROR(X8/L8-1,"")</f>
        <v/>
      </c>
      <c r="Y11" s="22">
        <f>IFERROR(Y8/M8-1,"")</f>
        <v/>
      </c>
      <c r="Z11" s="22">
        <f>IFERROR(Z8/N8-1,"")</f>
        <v/>
      </c>
      <c r="AA11" s="22">
        <f>IFERROR(AA8/O8-1,"")</f>
        <v/>
      </c>
      <c r="AB11" s="22">
        <f>IFERROR(AB8/P8-1,"")</f>
        <v/>
      </c>
      <c r="AC11" s="22">
        <f>IFERROR(AC8/Q8-1,"")</f>
        <v/>
      </c>
      <c r="AD11" s="22">
        <f>IFERROR(AD8/R8-1,"")</f>
        <v/>
      </c>
      <c r="AE11" s="22">
        <f>IFERROR(AE8/S8-1,"")</f>
        <v/>
      </c>
      <c r="AF11" s="22">
        <f>IFERROR(AF8/T8-1,"")</f>
        <v/>
      </c>
      <c r="AG11" s="22">
        <f>IFERROR(AG8/U8-1,"")</f>
        <v/>
      </c>
      <c r="AH11" s="22">
        <f>IFERROR(AH8/V8-1,"")</f>
        <v/>
      </c>
      <c r="AI11" s="22">
        <f>IFERROR(AI8/W8-1,"")</f>
        <v/>
      </c>
    </row>
    <row r="12">
      <c r="A12" s="1" t="n"/>
      <c r="B12" s="24" t="inlineStr">
        <is>
          <t>※記載</t>
        </is>
      </c>
      <c r="C12" s="7" t="n"/>
      <c r="D12" s="7" t="inlineStr">
        <is>
          <t>依頼・問い合わせ数</t>
        </is>
      </c>
      <c r="E12" s="7" t="n"/>
      <c r="F12" s="7" t="n"/>
      <c r="G12" s="25" t="n"/>
      <c r="H12" s="26" t="n"/>
      <c r="I12" s="26" t="n"/>
      <c r="J12" s="26" t="n"/>
      <c r="K12" s="26" t="n"/>
      <c r="L12" s="26" t="n"/>
      <c r="M12" s="26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</row>
    <row r="13">
      <c r="A13" s="1" t="n"/>
      <c r="B13" s="24" t="inlineStr">
        <is>
          <t>※記載</t>
        </is>
      </c>
      <c r="C13" s="1" t="n"/>
      <c r="D13" s="1" t="inlineStr">
        <is>
          <t>表示回数（IMP）</t>
        </is>
      </c>
      <c r="E13" s="1" t="n"/>
      <c r="F13" s="1" t="n"/>
      <c r="G13" s="27" t="n"/>
      <c r="H13" s="27" t="n"/>
      <c r="I13" s="27" t="n"/>
      <c r="J13" s="27" t="n"/>
      <c r="K13" s="27" t="n"/>
      <c r="L13" s="27" t="n"/>
      <c r="M13" s="27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>
      <c r="A14" s="1" t="n"/>
      <c r="B14" s="24" t="inlineStr">
        <is>
          <t>※記載</t>
        </is>
      </c>
      <c r="C14" s="1" t="n"/>
      <c r="D14" s="1" t="inlineStr">
        <is>
          <t>顧客数</t>
        </is>
      </c>
      <c r="E14" s="1" t="n"/>
      <c r="F14" s="1" t="n"/>
      <c r="G14" s="28" t="n"/>
      <c r="H14" s="28" t="n"/>
      <c r="I14" s="28" t="n"/>
      <c r="J14" s="28" t="n"/>
      <c r="K14" s="28" t="n"/>
      <c r="L14" s="28" t="n"/>
      <c r="M14" s="28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>
      <c r="A15" s="1" t="n"/>
      <c r="B15" s="24" t="inlineStr">
        <is>
          <t>※記載</t>
        </is>
      </c>
      <c r="C15" s="1" t="n"/>
      <c r="D15" s="1" t="inlineStr">
        <is>
          <t>販売数</t>
        </is>
      </c>
      <c r="E15" s="1" t="n"/>
      <c r="F15" s="1" t="n"/>
      <c r="G15" s="28" t="n"/>
      <c r="H15" s="28" t="n"/>
      <c r="I15" s="28" t="n"/>
      <c r="J15" s="28" t="n"/>
      <c r="K15" s="28" t="n"/>
      <c r="L15" s="28" t="n"/>
      <c r="M15" s="28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>
      <c r="A16" s="1" t="n"/>
      <c r="B16" s="24" t="inlineStr">
        <is>
          <t>※記載</t>
        </is>
      </c>
      <c r="C16" s="1" t="inlineStr">
        <is>
          <t>チャネルA</t>
        </is>
      </c>
      <c r="D16" s="1" t="inlineStr">
        <is>
          <t>売上（区分1）</t>
        </is>
      </c>
      <c r="E16" s="1" t="n"/>
      <c r="F16" s="1" t="n"/>
      <c r="G16" s="28" t="n"/>
      <c r="H16" s="28" t="n"/>
      <c r="I16" s="28" t="n"/>
      <c r="J16" s="27" t="n"/>
      <c r="K16" s="27" t="n"/>
      <c r="L16" s="28" t="n"/>
      <c r="M16" s="28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</row>
    <row r="17">
      <c r="A17" s="1" t="n"/>
      <c r="B17" s="24" t="inlineStr">
        <is>
          <t>※記載</t>
        </is>
      </c>
      <c r="C17" s="1" t="n"/>
      <c r="D17" s="1" t="inlineStr">
        <is>
          <t>売上（区分2）</t>
        </is>
      </c>
      <c r="E17" s="1" t="n"/>
      <c r="F17" s="1" t="n"/>
      <c r="G17" s="28" t="n"/>
      <c r="H17" s="27" t="n"/>
      <c r="I17" s="27" t="n"/>
      <c r="J17" s="27" t="n"/>
      <c r="K17" s="27" t="n"/>
      <c r="L17" s="28" t="n"/>
      <c r="M17" s="28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>
      <c r="A18" s="1" t="n"/>
      <c r="B18" s="24" t="inlineStr">
        <is>
          <t>※記載</t>
        </is>
      </c>
      <c r="C18" s="1" t="inlineStr">
        <is>
          <t>チャネルB</t>
        </is>
      </c>
      <c r="D18" s="1" t="inlineStr">
        <is>
          <t>売上（区分1）</t>
        </is>
      </c>
      <c r="E18" s="1" t="n"/>
      <c r="F18" s="1" t="n"/>
      <c r="G18" s="28" t="n"/>
      <c r="H18" s="27" t="n"/>
      <c r="I18" s="27" t="n"/>
      <c r="J18" s="27" t="n"/>
      <c r="K18" s="27" t="n"/>
      <c r="L18" s="28" t="n"/>
      <c r="M18" s="28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>
      <c r="A19" s="1" t="n"/>
      <c r="B19" s="24" t="inlineStr">
        <is>
          <t>※記載</t>
        </is>
      </c>
      <c r="C19" s="1" t="n"/>
      <c r="D19" s="1" t="inlineStr">
        <is>
          <t>売上（区分2）</t>
        </is>
      </c>
      <c r="E19" s="1" t="n"/>
      <c r="F19" s="1" t="n"/>
      <c r="G19" s="28" t="n"/>
      <c r="H19" s="28" t="n"/>
      <c r="I19" s="27" t="n"/>
      <c r="J19" s="28" t="n"/>
      <c r="K19" s="28" t="n"/>
      <c r="L19" s="28" t="n"/>
      <c r="M19" s="28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>
      <c r="A20" s="1" t="n"/>
      <c r="B20" s="24" t="inlineStr">
        <is>
          <t>※記載</t>
        </is>
      </c>
      <c r="C20" s="1" t="n"/>
      <c r="D20" s="1" t="inlineStr">
        <is>
          <t>カート・申込数</t>
        </is>
      </c>
      <c r="E20" s="1" t="n"/>
      <c r="F20" s="1" t="n"/>
      <c r="G20" s="28" t="n"/>
      <c r="H20" s="28" t="n"/>
      <c r="I20" s="27" t="n"/>
      <c r="J20" s="27" t="n"/>
      <c r="K20" s="27" t="n"/>
      <c r="L20" s="28" t="n"/>
      <c r="M20" s="28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>
      <c r="A21" s="1" t="n"/>
      <c r="B21" s="1" t="n"/>
      <c r="C21" s="1" t="n"/>
      <c r="D21" s="1" t="inlineStr">
        <is>
          <t>稼働・配信時間数</t>
        </is>
      </c>
      <c r="E21" s="1" t="n"/>
      <c r="F21" s="1" t="n"/>
      <c r="G21" s="28" t="n"/>
      <c r="H21" s="28" t="n"/>
      <c r="I21" s="27" t="n"/>
      <c r="J21" s="27" t="n"/>
      <c r="K21" s="28" t="n"/>
      <c r="L21" s="28" t="n"/>
      <c r="M21" s="28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>
      <c r="A22" s="1" t="n"/>
      <c r="B22" s="7" t="inlineStr">
        <is>
          <t>手数料・物流</t>
        </is>
      </c>
      <c r="C22" s="7" t="inlineStr">
        <is>
          <t>決済手数料額</t>
        </is>
      </c>
      <c r="D22" s="8" t="n"/>
      <c r="E22" s="1" t="n"/>
      <c r="F22" s="12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29" t="n"/>
      <c r="AH22" s="29" t="n"/>
      <c r="AI22" s="29" t="n"/>
    </row>
    <row r="23">
      <c r="A23" s="1" t="n"/>
      <c r="B23" s="1" t="n"/>
      <c r="C23" s="7" t="n"/>
      <c r="D23" s="30" t="inlineStr">
        <is>
          <t>決済手数料率</t>
        </is>
      </c>
      <c r="E23" s="7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</row>
    <row r="24">
      <c r="A24" s="1" t="n"/>
      <c r="B24" s="7" t="n"/>
      <c r="C24" s="7" t="inlineStr">
        <is>
          <t>送料・物流費</t>
        </is>
      </c>
      <c r="D24" s="8" t="n"/>
      <c r="E24" s="7" t="n"/>
      <c r="F24" s="32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</row>
    <row r="25">
      <c r="A25" s="1" t="n"/>
      <c r="B25" s="7" t="n"/>
      <c r="C25" s="7" t="n"/>
      <c r="D25" s="30" t="inlineStr">
        <is>
          <t>送料・物流費率</t>
        </is>
      </c>
      <c r="E25" s="7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</row>
    <row r="26">
      <c r="A26" s="1" t="n"/>
      <c r="B26" s="7" t="inlineStr">
        <is>
          <t>販管費</t>
        </is>
      </c>
      <c r="C26" s="7" t="inlineStr">
        <is>
          <t>販促費（全体）</t>
        </is>
      </c>
      <c r="D26" s="8" t="n"/>
      <c r="E26" s="7" t="n"/>
      <c r="F26" s="33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</row>
    <row r="27">
      <c r="A27" s="35" t="n"/>
      <c r="B27" s="36" t="n"/>
      <c r="C27" s="36" t="n"/>
      <c r="D27" s="36" t="inlineStr">
        <is>
          <t>運営委託fee</t>
        </is>
      </c>
      <c r="E27" s="36" t="n"/>
      <c r="F27" s="37" t="n"/>
      <c r="G27" s="38" t="n"/>
      <c r="H27" s="38" t="n"/>
      <c r="I27" s="38" t="n"/>
      <c r="J27" s="38" t="n"/>
      <c r="K27" s="38" t="n"/>
      <c r="L27" s="38" t="n"/>
      <c r="M27" s="38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</row>
    <row r="28">
      <c r="A28" s="39" t="n"/>
      <c r="B28" s="40" t="n"/>
      <c r="C28" s="40" t="n"/>
      <c r="D28" s="40" t="n"/>
      <c r="E28" s="40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</row>
    <row r="29">
      <c r="A29" s="39" t="n"/>
      <c r="B29" s="40" t="n"/>
      <c r="C29" s="40" t="n"/>
      <c r="D29" s="40" t="inlineStr">
        <is>
          <t>外部スタッフ時給</t>
        </is>
      </c>
      <c r="E29" s="40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</row>
    <row r="30">
      <c r="A30" s="39" t="n"/>
      <c r="B30" s="40" t="n"/>
      <c r="C30" s="40" t="n"/>
      <c r="D30" s="40" t="inlineStr">
        <is>
          <t>制作費</t>
        </is>
      </c>
      <c r="E30" s="40" t="n"/>
      <c r="F30" s="42" t="n"/>
      <c r="G30" s="38" t="n"/>
      <c r="H30" s="38" t="n"/>
      <c r="I30" s="38" t="n"/>
      <c r="J30" s="38" t="n"/>
      <c r="K30" s="38" t="n"/>
      <c r="L30" s="38" t="n"/>
      <c r="M30" s="38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</row>
    <row r="31">
      <c r="A31" s="39" t="n"/>
      <c r="B31" s="40" t="n"/>
      <c r="C31" s="40" t="n"/>
      <c r="D31" s="40" t="inlineStr">
        <is>
          <t>制作本数</t>
        </is>
      </c>
      <c r="E31" s="40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</row>
    <row r="32">
      <c r="A32" s="1" t="n"/>
      <c r="B32" s="7" t="n"/>
      <c r="C32" s="7" t="n"/>
      <c r="D32" s="7" t="inlineStr">
        <is>
          <t>制作単価</t>
        </is>
      </c>
      <c r="E32" s="7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</row>
    <row r="33">
      <c r="A33" s="1" t="n"/>
      <c r="B33" s="7" t="n"/>
      <c r="C33" s="7" t="inlineStr">
        <is>
          <t>紹介・成果報酬額</t>
        </is>
      </c>
      <c r="D33" s="8" t="n"/>
      <c r="E33" s="7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4" t="n"/>
      <c r="AI33" s="44" t="n"/>
    </row>
    <row r="34">
      <c r="A34" s="1" t="n"/>
      <c r="B34" s="7" t="n"/>
      <c r="C34" s="7" t="n"/>
      <c r="D34" s="7" t="inlineStr">
        <is>
          <t>紹介・成果報酬率</t>
        </is>
      </c>
      <c r="E34" s="7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</row>
    <row r="35">
      <c r="A35" s="1" t="n"/>
      <c r="B35" s="7" t="n"/>
      <c r="C35" s="7" t="n"/>
      <c r="D35" s="7" t="inlineStr">
        <is>
          <t>固定報酬（外注）</t>
        </is>
      </c>
      <c r="E35" s="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</row>
    <row r="36">
      <c r="A36" s="1" t="n"/>
      <c r="B36" s="7" t="n"/>
      <c r="C36" s="7" t="inlineStr">
        <is>
          <t>運用広告費</t>
        </is>
      </c>
      <c r="D36" s="8" t="n"/>
      <c r="E36" s="7" t="n"/>
      <c r="F36" s="33" t="n"/>
      <c r="G36" s="33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</row>
    <row r="37">
      <c r="A37" s="1" t="n"/>
      <c r="B37" s="7" t="n"/>
      <c r="C37" s="1" t="inlineStr">
        <is>
          <t>チャネルA広告</t>
        </is>
      </c>
      <c r="D37" s="1" t="inlineStr">
        <is>
          <t>費用</t>
        </is>
      </c>
      <c r="E37" s="7" t="n"/>
      <c r="F37" s="45" t="n"/>
      <c r="G37" s="45" t="n"/>
      <c r="H37" s="44" t="n"/>
      <c r="I37" s="44" t="n"/>
      <c r="J37" s="44" t="n"/>
      <c r="K37" s="44" t="n"/>
      <c r="L37" s="44" t="n"/>
      <c r="M37" s="44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</row>
    <row r="38">
      <c r="A38" s="1" t="n"/>
      <c r="B38" s="7" t="n"/>
      <c r="C38" s="7" t="n"/>
      <c r="D38" s="7" t="inlineStr">
        <is>
          <t>収益</t>
        </is>
      </c>
      <c r="E38" s="7" t="n"/>
      <c r="F38" s="45" t="n"/>
      <c r="G38" s="45" t="n"/>
      <c r="H38" s="44" t="n"/>
      <c r="I38" s="44" t="n"/>
      <c r="J38" s="44" t="n"/>
      <c r="K38" s="44" t="n"/>
      <c r="L38" s="44" t="n"/>
      <c r="M38" s="44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</row>
    <row r="39">
      <c r="A39" s="1" t="n"/>
      <c r="B39" s="7" t="n"/>
      <c r="C39" s="1" t="n"/>
      <c r="D39" s="7" t="inlineStr">
        <is>
          <t>ROI</t>
        </is>
      </c>
      <c r="E39" s="7" t="n"/>
      <c r="F39" s="45" t="n"/>
      <c r="G39" s="45" t="n"/>
      <c r="H39" s="49" t="n"/>
      <c r="I39" s="49" t="n"/>
      <c r="J39" s="49" t="n"/>
      <c r="K39" s="49" t="n"/>
      <c r="L39" s="49" t="n"/>
      <c r="M39" s="49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</row>
    <row r="40">
      <c r="A40" s="1" t="n"/>
      <c r="B40" s="7" t="n"/>
      <c r="C40" s="7" t="inlineStr">
        <is>
          <t>チャネルB広告</t>
        </is>
      </c>
      <c r="D40" s="7" t="inlineStr">
        <is>
          <t>費用</t>
        </is>
      </c>
      <c r="E40" s="7" t="n"/>
      <c r="F40" s="45" t="n"/>
      <c r="G40" s="45" t="n"/>
      <c r="H40" s="45" t="n"/>
      <c r="I40" s="45" t="n"/>
      <c r="J40" s="45" t="n"/>
      <c r="K40" s="44" t="n"/>
      <c r="L40" s="44" t="n"/>
      <c r="M40" s="44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</row>
    <row r="41">
      <c r="A41" s="1" t="n"/>
      <c r="B41" s="7" t="n"/>
      <c r="C41" s="7" t="n"/>
      <c r="D41" s="7" t="inlineStr">
        <is>
          <t>収益</t>
        </is>
      </c>
      <c r="E41" s="7" t="n"/>
      <c r="F41" s="45" t="n"/>
      <c r="G41" s="45" t="n"/>
      <c r="H41" s="45" t="n"/>
      <c r="I41" s="45" t="n"/>
      <c r="J41" s="45" t="n"/>
      <c r="K41" s="44" t="n"/>
      <c r="L41" s="44" t="n"/>
      <c r="M41" s="44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</row>
    <row r="42">
      <c r="A42" s="1" t="n"/>
      <c r="B42" s="7" t="n"/>
      <c r="C42" s="7" t="n"/>
      <c r="D42" s="7" t="inlineStr">
        <is>
          <t>ROI</t>
        </is>
      </c>
      <c r="E42" s="7" t="n"/>
      <c r="F42" s="45" t="n"/>
      <c r="G42" s="45" t="n"/>
      <c r="H42" s="45" t="n"/>
      <c r="I42" s="45" t="n"/>
      <c r="J42" s="45" t="n"/>
      <c r="K42" s="49" t="n"/>
      <c r="L42" s="49" t="n"/>
      <c r="M42" s="49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</row>
    <row r="43">
      <c r="A43" s="1" t="n"/>
      <c r="B43" s="7" t="n"/>
      <c r="C43" s="7" t="inlineStr">
        <is>
          <t>広告運用手数料額</t>
        </is>
      </c>
      <c r="D43" s="8" t="n"/>
      <c r="E43" s="7" t="n"/>
      <c r="F43" s="50" t="n"/>
      <c r="G43" s="50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</row>
    <row r="44">
      <c r="A44" s="1" t="n"/>
      <c r="B44" s="7" t="n"/>
      <c r="C44" s="7" t="n"/>
      <c r="D44" s="30" t="inlineStr">
        <is>
          <t>広告運用手数料率/広告費</t>
        </is>
      </c>
      <c r="E44" s="7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</row>
    <row r="45">
      <c r="A45" s="1" t="n"/>
      <c r="C45" s="7" t="n"/>
      <c r="D45" s="8" t="n"/>
      <c r="E45" s="7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</row>
    <row r="46">
      <c r="A46" s="1" t="n"/>
      <c r="B46" s="7" t="inlineStr">
        <is>
          <t>販管費合計</t>
        </is>
      </c>
      <c r="C46" s="7" t="n"/>
      <c r="D46" s="8" t="n"/>
      <c r="E46" s="7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</row>
    <row r="47">
      <c r="A47" s="1" t="n"/>
      <c r="B47" s="7" t="inlineStr">
        <is>
          <t>ROAS</t>
        </is>
      </c>
      <c r="C47" s="52" t="inlineStr">
        <is>
          <t>目標値を記入</t>
        </is>
      </c>
      <c r="D47" s="8" t="n"/>
      <c r="E47" s="7" t="n"/>
      <c r="F47" s="53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</row>
  </sheetData>
  <mergeCells count="15">
    <mergeCell ref="C43:D43"/>
    <mergeCell ref="C46:D46"/>
    <mergeCell ref="C47:D47"/>
    <mergeCell ref="C24:D24"/>
    <mergeCell ref="C2:D2"/>
    <mergeCell ref="C1:D1"/>
    <mergeCell ref="C33:D33"/>
    <mergeCell ref="A45:B45"/>
    <mergeCell ref="C36:D36"/>
    <mergeCell ref="C45:D45"/>
    <mergeCell ref="C22:D22"/>
    <mergeCell ref="A1:B1"/>
    <mergeCell ref="C26:D26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2026-10-03T17:14:06Z</dcterms:created>
  <dcterms:modified xsi:type="dcterms:W3CDTF">2026-10-03T17:14:06Z</dcterms:modified>
</cp:coreProperties>
</file>