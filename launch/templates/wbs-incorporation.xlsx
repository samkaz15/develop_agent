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/d"/>
    <numFmt numFmtId="166" formatCode="m/d/yy"/>
  </numFmts>
  <fonts count="9">
    <font>
      <name val="Calibri"/>
      <family val="2"/>
      <color theme="1"/>
      <sz val="11"/>
      <scheme val="minor"/>
    </font>
    <font>
      <name val="Corbel"/>
      <color theme="1"/>
      <sz val="12"/>
    </font>
    <font>
      <name val="Century Gothic"/>
      <b val="1"/>
      <color rgb="FF001033"/>
      <sz val="16"/>
    </font>
    <font>
      <name val="Arial"/>
      <color rgb="FF000000"/>
      <sz val="10"/>
      <scheme val="minor"/>
    </font>
    <font>
      <name val="Century Gothic"/>
      <b val="1"/>
      <color rgb="FFFFFFFF"/>
      <u val="single"/>
    </font>
    <font>
      <name val="Century Gothic"/>
      <b val="1"/>
      <color theme="1"/>
    </font>
    <font>
      <name val="Century Gothic"/>
      <b val="1"/>
      <color rgb="FFFFFFFF"/>
    </font>
    <font>
      <name val="Arial"/>
      <color theme="1"/>
      <scheme val="minor"/>
    </font>
    <font>
      <name val="Century Gothic"/>
      <color theme="1"/>
    </font>
  </fonts>
  <fills count="17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833C0B"/>
        <bgColor rgb="FF833C0B"/>
      </patternFill>
    </fill>
    <fill>
      <patternFill patternType="solid">
        <fgColor rgb="FFC55A11"/>
        <bgColor rgb="FFC55A11"/>
      </patternFill>
    </fill>
    <fill>
      <patternFill patternType="solid">
        <fgColor rgb="FFF7CAAC"/>
        <bgColor rgb="FFF7CAAC"/>
      </patternFill>
    </fill>
    <fill>
      <patternFill patternType="solid">
        <fgColor rgb="FF525252"/>
        <bgColor rgb="FF525252"/>
      </patternFill>
    </fill>
    <fill>
      <patternFill patternType="solid">
        <fgColor rgb="FF7B7B7B"/>
        <bgColor rgb="FF7B7B7B"/>
      </patternFill>
    </fill>
    <fill>
      <patternFill patternType="solid">
        <fgColor rgb="FFDADADA"/>
        <bgColor rgb="FFDADADA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FFE598"/>
        <bgColor rgb="FFFFE598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2" fillId="2" borderId="2" pivotButton="0" quotePrefix="0" xfId="0"/>
    <xf numFmtId="0" fontId="4" fillId="0" borderId="3" pivotButton="0" quotePrefix="0" xfId="0"/>
    <xf numFmtId="0" fontId="5" fillId="3" borderId="4" applyAlignment="1" pivotButton="0" quotePrefix="0" xfId="0">
      <alignment wrapText="1"/>
    </xf>
    <xf numFmtId="164" fontId="1" fillId="0" borderId="4" pivotButton="0" quotePrefix="0" xfId="0"/>
    <xf numFmtId="0" fontId="0" fillId="0" borderId="10" pivotButton="0" quotePrefix="0" xfId="0"/>
    <xf numFmtId="164" fontId="1" fillId="0" borderId="1" pivotButton="0" quotePrefix="0" xfId="0"/>
    <xf numFmtId="0" fontId="1" fillId="0" borderId="1" pivotButton="0" quotePrefix="0" xfId="0"/>
    <xf numFmtId="0" fontId="6" fillId="4" borderId="14" pivotButton="0" quotePrefix="0" xfId="0"/>
    <xf numFmtId="0" fontId="1" fillId="4" borderId="17" pivotButton="0" quotePrefix="0" xfId="0"/>
    <xf numFmtId="0" fontId="6" fillId="7" borderId="14" pivotButton="0" quotePrefix="0" xfId="0"/>
    <xf numFmtId="0" fontId="1" fillId="7" borderId="17" pivotButton="0" quotePrefix="0" xfId="0"/>
    <xf numFmtId="0" fontId="6" fillId="10" borderId="14" pivotButton="0" quotePrefix="0" xfId="0"/>
    <xf numFmtId="0" fontId="1" fillId="10" borderId="17" pivotButton="0" quotePrefix="0" xfId="0"/>
    <xf numFmtId="0" fontId="6" fillId="13" borderId="14" pivotButton="0" quotePrefix="0" xfId="0"/>
    <xf numFmtId="0" fontId="1" fillId="13" borderId="17" pivotButton="0" quotePrefix="0" xfId="0"/>
    <xf numFmtId="0" fontId="1" fillId="13" borderId="19" pivotButton="0" quotePrefix="0" xfId="0"/>
    <xf numFmtId="0" fontId="1" fillId="2" borderId="2" applyAlignment="1" pivotButton="0" quotePrefix="0" xfId="0">
      <alignment vertical="bottom"/>
    </xf>
    <xf numFmtId="0" fontId="1" fillId="2" borderId="2" pivotButton="0" quotePrefix="0" xfId="0"/>
    <xf numFmtId="0" fontId="6" fillId="5" borderId="14" pivotButton="0" quotePrefix="0" xfId="0"/>
    <xf numFmtId="0" fontId="1" fillId="5" borderId="17" pivotButton="0" quotePrefix="0" xfId="0"/>
    <xf numFmtId="0" fontId="1" fillId="5" borderId="19" pivotButton="0" quotePrefix="0" xfId="0"/>
    <xf numFmtId="0" fontId="6" fillId="8" borderId="14" pivotButton="0" quotePrefix="0" xfId="0"/>
    <xf numFmtId="0" fontId="1" fillId="8" borderId="17" pivotButton="0" quotePrefix="0" xfId="0"/>
    <xf numFmtId="0" fontId="1" fillId="8" borderId="19" pivotButton="0" quotePrefix="0" xfId="0"/>
    <xf numFmtId="0" fontId="6" fillId="8" borderId="17" pivotButton="0" quotePrefix="0" xfId="0"/>
    <xf numFmtId="0" fontId="6" fillId="11" borderId="14" pivotButton="0" quotePrefix="0" xfId="0"/>
    <xf numFmtId="0" fontId="1" fillId="11" borderId="17" pivotButton="0" quotePrefix="0" xfId="0"/>
    <xf numFmtId="0" fontId="6" fillId="14" borderId="14" pivotButton="0" quotePrefix="0" xfId="0"/>
    <xf numFmtId="0" fontId="1" fillId="14" borderId="17" pivotButton="0" quotePrefix="0" xfId="0"/>
    <xf numFmtId="0" fontId="1" fillId="14" borderId="19" pivotButton="0" quotePrefix="0" xfId="0"/>
    <xf numFmtId="4" fontId="1" fillId="0" borderId="1" applyAlignment="1" pivotButton="0" quotePrefix="0" xfId="0">
      <alignment vertical="bottom"/>
    </xf>
    <xf numFmtId="0" fontId="0" fillId="0" borderId="12" pivotButton="0" quotePrefix="0" xfId="0"/>
    <xf numFmtId="165" fontId="5" fillId="6" borderId="15" applyAlignment="1" pivotButton="0" quotePrefix="0" xfId="0">
      <alignment horizontal="center" wrapText="1"/>
    </xf>
    <xf numFmtId="165" fontId="5" fillId="6" borderId="20" applyAlignment="1" pivotButton="0" quotePrefix="0" xfId="0">
      <alignment horizontal="center" wrapText="1"/>
    </xf>
    <xf numFmtId="165" fontId="5" fillId="6" borderId="21" applyAlignment="1" pivotButton="0" quotePrefix="0" xfId="0">
      <alignment horizontal="center" wrapText="1"/>
    </xf>
    <xf numFmtId="165" fontId="5" fillId="6" borderId="5" applyAlignment="1" pivotButton="0" quotePrefix="0" xfId="0">
      <alignment horizontal="center" wrapText="1"/>
    </xf>
    <xf numFmtId="165" fontId="5" fillId="9" borderId="22" applyAlignment="1" pivotButton="0" quotePrefix="0" xfId="0">
      <alignment horizontal="center" wrapText="1"/>
    </xf>
    <xf numFmtId="165" fontId="5" fillId="9" borderId="15" applyAlignment="1" pivotButton="0" quotePrefix="0" xfId="0">
      <alignment horizontal="center" wrapText="1"/>
    </xf>
    <xf numFmtId="165" fontId="5" fillId="9" borderId="23" applyAlignment="1" pivotButton="0" quotePrefix="0" xfId="0">
      <alignment horizontal="center" wrapText="1"/>
    </xf>
    <xf numFmtId="165" fontId="5" fillId="12" borderId="22" applyAlignment="1" pivotButton="0" quotePrefix="0" xfId="0">
      <alignment horizontal="center" wrapText="1"/>
    </xf>
    <xf numFmtId="165" fontId="5" fillId="12" borderId="15" applyAlignment="1" pivotButton="0" quotePrefix="0" xfId="0">
      <alignment horizontal="center" wrapText="1"/>
    </xf>
    <xf numFmtId="165" fontId="5" fillId="15" borderId="22" applyAlignment="1" pivotButton="0" quotePrefix="0" xfId="0">
      <alignment horizontal="center" wrapText="1"/>
    </xf>
    <xf numFmtId="165" fontId="5" fillId="15" borderId="15" applyAlignment="1" pivotButton="0" quotePrefix="0" xfId="0">
      <alignment horizontal="center" wrapText="1"/>
    </xf>
    <xf numFmtId="165" fontId="5" fillId="15" borderId="23" applyAlignment="1" pivotButton="0" quotePrefix="0" xfId="0">
      <alignment horizontal="center" wrapText="1"/>
    </xf>
    <xf numFmtId="0" fontId="0" fillId="0" borderId="13" pivotButton="0" quotePrefix="0" xfId="0"/>
    <xf numFmtId="0" fontId="5" fillId="6" borderId="16" applyAlignment="1" pivotButton="0" quotePrefix="0" xfId="0">
      <alignment horizontal="center" wrapText="1"/>
    </xf>
    <xf numFmtId="0" fontId="5" fillId="6" borderId="18" applyAlignment="1" pivotButton="0" quotePrefix="0" xfId="0">
      <alignment horizontal="center" wrapText="1"/>
    </xf>
    <xf numFmtId="0" fontId="5" fillId="6" borderId="4" applyAlignment="1" pivotButton="0" quotePrefix="0" xfId="0">
      <alignment horizontal="center" wrapText="1"/>
    </xf>
    <xf numFmtId="0" fontId="5" fillId="9" borderId="18" applyAlignment="1" pivotButton="0" quotePrefix="0" xfId="0">
      <alignment horizontal="center" wrapText="1"/>
    </xf>
    <xf numFmtId="0" fontId="5" fillId="12" borderId="18" applyAlignment="1" pivotButton="0" quotePrefix="0" xfId="0">
      <alignment horizontal="center" wrapText="1"/>
    </xf>
    <xf numFmtId="0" fontId="5" fillId="15" borderId="18" applyAlignment="1" pivotButton="0" quotePrefix="0" xfId="0">
      <alignment horizontal="center" wrapText="1"/>
    </xf>
    <xf numFmtId="49" fontId="7" fillId="16" borderId="1" pivotButton="0" quotePrefix="0" xfId="0"/>
    <xf numFmtId="0" fontId="7" fillId="16" borderId="1" pivotButton="0" quotePrefix="0" xfId="0"/>
    <xf numFmtId="166" fontId="1" fillId="16" borderId="18" pivotButton="0" quotePrefix="0" xfId="0"/>
    <xf numFmtId="1" fontId="1" fillId="16" borderId="18" pivotButton="0" quotePrefix="0" xfId="0"/>
    <xf numFmtId="9" fontId="1" fillId="16" borderId="18" pivotButton="0" quotePrefix="0" xfId="0"/>
    <xf numFmtId="0" fontId="1" fillId="16" borderId="4" applyAlignment="1" pivotButton="0" quotePrefix="0" xfId="0">
      <alignment vertical="bottom"/>
    </xf>
    <xf numFmtId="49" fontId="7" fillId="0" borderId="1" pivotButton="0" quotePrefix="0" xfId="0"/>
    <xf numFmtId="0" fontId="7" fillId="0" borderId="1" pivotButton="0" quotePrefix="0" xfId="0"/>
    <xf numFmtId="0" fontId="3" fillId="0" borderId="1" pivotButton="0" quotePrefix="0" xfId="0"/>
    <xf numFmtId="0" fontId="7" fillId="0" borderId="1" applyAlignment="1" pivotButton="0" quotePrefix="0" xfId="0">
      <alignment horizontal="center"/>
    </xf>
    <xf numFmtId="166" fontId="8" fillId="0" borderId="4" applyAlignment="1" pivotButton="0" quotePrefix="0" xfId="0">
      <alignment horizontal="center" wrapText="1"/>
    </xf>
    <xf numFmtId="1" fontId="8" fillId="0" borderId="4" applyAlignment="1" pivotButton="0" quotePrefix="0" xfId="0">
      <alignment horizontal="center" wrapText="1"/>
    </xf>
    <xf numFmtId="9" fontId="5" fillId="0" borderId="4" applyAlignment="1" pivotButton="0" quotePrefix="0" xfId="0">
      <alignment horizontal="center" wrapText="1"/>
    </xf>
    <xf numFmtId="0" fontId="1" fillId="0" borderId="4" applyAlignment="1" pivotButton="0" quotePrefix="0" xfId="0">
      <alignment vertical="bottom"/>
    </xf>
  </cellXfs>
  <cellStyles count="1">
    <cellStyle name="Normal" xfId="0" builtinId="0" hidden="0"/>
  </cellStyles>
  <dxfs count="1">
    <dxf>
      <fill>
        <patternFill patternType="solid">
          <fgColor rgb="FF4A86E8"/>
          <bgColor rgb="FF4A86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4"/>
  <sheetViews>
    <sheetView workbookViewId="0">
      <selection activeCell="A1" sqref="A1"/>
    </sheetView>
  </sheetViews>
  <sheetFormatPr baseColWidth="8" defaultRowHeight="15"/>
  <cols>
    <col width="3.25" customWidth="1" min="1" max="1"/>
    <col width="5.25" customWidth="1" min="2" max="2"/>
    <col width="28.63" customWidth="1" min="3" max="3"/>
    <col width="17.5" customWidth="1" min="4" max="4"/>
    <col width="21.38" customWidth="1" min="5" max="5"/>
    <col width="7.5" customWidth="1" min="6" max="6"/>
    <col width="20" customWidth="1" min="7" max="7"/>
    <col width="8.880000000000001" customWidth="1" min="10" max="10"/>
    <col width="13.5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2" t="inlineStr">
        <is>
          <t>法人設立・事業立ち上げ WBS</t>
        </is>
      </c>
      <c r="K2" s="3" t="n"/>
    </row>
    <row r="3">
      <c r="A3" s="1" t="n"/>
      <c r="B3" s="4" t="inlineStr">
        <is>
          <t>Date</t>
        </is>
      </c>
      <c r="C3" s="5" t="n">
        <v>46328</v>
      </c>
      <c r="D3" s="6" t="n"/>
      <c r="E3" s="7" t="n"/>
      <c r="F3" s="8" t="n"/>
      <c r="G3" s="8" t="n"/>
      <c r="H3" s="8" t="n"/>
      <c r="I3" s="8" t="n"/>
      <c r="J3" s="8" t="n"/>
      <c r="K3" s="8" t="n"/>
      <c r="L3" s="9" t="inlineStr">
        <is>
          <t>Phase One</t>
        </is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1" t="inlineStr">
        <is>
          <t>Phase Two</t>
        </is>
      </c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12" t="n"/>
      <c r="AZ3" s="13" t="inlineStr">
        <is>
          <t>Phase Three</t>
        </is>
      </c>
      <c r="BA3" s="14" t="n"/>
      <c r="BB3" s="14" t="n"/>
      <c r="BC3" s="14" t="n"/>
      <c r="BD3" s="14" t="n"/>
      <c r="BE3" s="14" t="n"/>
      <c r="BF3" s="14" t="n"/>
      <c r="BG3" s="14" t="n"/>
      <c r="BH3" s="14" t="n"/>
      <c r="BI3" s="14" t="n"/>
      <c r="BJ3" s="14" t="n"/>
      <c r="BK3" s="14" t="n"/>
      <c r="BL3" s="14" t="n"/>
      <c r="BM3" s="14" t="n"/>
      <c r="BN3" s="14" t="n"/>
      <c r="BO3" s="14" t="n"/>
      <c r="BP3" s="14" t="n"/>
      <c r="BQ3" s="14" t="n"/>
      <c r="BR3" s="14" t="n"/>
      <c r="BS3" s="14" t="n"/>
      <c r="BT3" s="15" t="inlineStr">
        <is>
          <t>Phase Four</t>
        </is>
      </c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  <c r="CE3" s="16" t="n"/>
      <c r="CF3" s="16" t="n"/>
      <c r="CG3" s="16" t="n"/>
      <c r="CH3" s="16" t="n"/>
      <c r="CI3" s="16" t="n"/>
      <c r="CJ3" s="16" t="n"/>
      <c r="CK3" s="16" t="n"/>
      <c r="CL3" s="16" t="n"/>
      <c r="CM3" s="17" t="n"/>
    </row>
    <row r="4">
      <c r="A4" s="18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>
      <c r="A5" s="1" t="n"/>
      <c r="B5" s="4" t="inlineStr">
        <is>
          <t>WBS Number</t>
        </is>
      </c>
      <c r="C5" s="4" t="inlineStr">
        <is>
          <t>フェーズ</t>
        </is>
      </c>
      <c r="D5" s="4" t="inlineStr">
        <is>
          <t>タスク</t>
        </is>
      </c>
      <c r="E5" s="4" t="inlineStr">
        <is>
          <t>定義</t>
        </is>
      </c>
      <c r="F5" s="4" t="inlineStr">
        <is>
          <t>完了</t>
        </is>
      </c>
      <c r="G5" s="4" t="inlineStr">
        <is>
          <t>アウトプット</t>
        </is>
      </c>
      <c r="H5" s="4" t="inlineStr">
        <is>
          <t>開始日</t>
        </is>
      </c>
      <c r="I5" s="4" t="inlineStr">
        <is>
          <t>完了日</t>
        </is>
      </c>
      <c r="J5" s="4" t="inlineStr">
        <is>
          <t>Duration</t>
        </is>
      </c>
      <c r="K5" s="4" t="inlineStr">
        <is>
          <t>% of Task Complete</t>
        </is>
      </c>
      <c r="L5" s="20" t="inlineStr">
        <is>
          <t>Week 1</t>
        </is>
      </c>
      <c r="M5" s="21" t="n"/>
      <c r="N5" s="21" t="n"/>
      <c r="O5" s="21" t="n"/>
      <c r="P5" s="22" t="n"/>
      <c r="Q5" s="20" t="inlineStr">
        <is>
          <t>Week 2</t>
        </is>
      </c>
      <c r="R5" s="21" t="n"/>
      <c r="S5" s="21" t="n"/>
      <c r="T5" s="21" t="n"/>
      <c r="U5" s="22" t="n"/>
      <c r="V5" s="20" t="inlineStr">
        <is>
          <t>Week 3</t>
        </is>
      </c>
      <c r="W5" s="21" t="n"/>
      <c r="X5" s="21" t="n"/>
      <c r="Y5" s="21" t="n"/>
      <c r="Z5" s="22" t="n"/>
      <c r="AA5" s="20" t="inlineStr">
        <is>
          <t>Week 4</t>
        </is>
      </c>
      <c r="AB5" s="21" t="n"/>
      <c r="AC5" s="21" t="n"/>
      <c r="AD5" s="21" t="n"/>
      <c r="AE5" s="21" t="n"/>
      <c r="AF5" s="23" t="inlineStr">
        <is>
          <t>Week 5</t>
        </is>
      </c>
      <c r="AG5" s="24" t="n"/>
      <c r="AH5" s="24" t="n"/>
      <c r="AI5" s="24" t="n"/>
      <c r="AJ5" s="25" t="n"/>
      <c r="AK5" s="26" t="inlineStr">
        <is>
          <t>Week 6</t>
        </is>
      </c>
      <c r="AL5" s="24" t="n"/>
      <c r="AM5" s="24" t="n"/>
      <c r="AN5" s="24" t="n"/>
      <c r="AO5" s="25" t="n"/>
      <c r="AP5" s="26" t="inlineStr">
        <is>
          <t>Week 7</t>
        </is>
      </c>
      <c r="AQ5" s="24" t="n"/>
      <c r="AR5" s="24" t="n"/>
      <c r="AS5" s="24" t="n"/>
      <c r="AT5" s="25" t="n"/>
      <c r="AU5" s="26" t="inlineStr">
        <is>
          <t>Week 8</t>
        </is>
      </c>
      <c r="AV5" s="24" t="n"/>
      <c r="AW5" s="24" t="n"/>
      <c r="AX5" s="24" t="n"/>
      <c r="AY5" s="24" t="n"/>
      <c r="AZ5" s="27" t="inlineStr">
        <is>
          <t>Week 9</t>
        </is>
      </c>
      <c r="BA5" s="28" t="n"/>
      <c r="BB5" s="28" t="n"/>
      <c r="BC5" s="28" t="n"/>
      <c r="BD5" s="28" t="n"/>
      <c r="BE5" s="27" t="inlineStr">
        <is>
          <t>Week 10</t>
        </is>
      </c>
      <c r="BF5" s="28" t="n"/>
      <c r="BG5" s="28" t="n"/>
      <c r="BH5" s="28" t="n"/>
      <c r="BI5" s="28" t="n"/>
      <c r="BJ5" s="27" t="inlineStr">
        <is>
          <t>Week 11</t>
        </is>
      </c>
      <c r="BK5" s="28" t="n"/>
      <c r="BL5" s="28" t="n"/>
      <c r="BM5" s="28" t="n"/>
      <c r="BN5" s="28" t="n"/>
      <c r="BO5" s="27" t="inlineStr">
        <is>
          <t>Week 12</t>
        </is>
      </c>
      <c r="BP5" s="28" t="n"/>
      <c r="BQ5" s="28" t="n"/>
      <c r="BR5" s="28" t="n"/>
      <c r="BS5" s="28" t="n"/>
      <c r="BT5" s="29" t="inlineStr">
        <is>
          <t>Week 13</t>
        </is>
      </c>
      <c r="BU5" s="30" t="n"/>
      <c r="BV5" s="30" t="n"/>
      <c r="BW5" s="30" t="n"/>
      <c r="BX5" s="30" t="n"/>
      <c r="BY5" s="29" t="inlineStr">
        <is>
          <t>Week 14</t>
        </is>
      </c>
      <c r="BZ5" s="30" t="n"/>
      <c r="CA5" s="30" t="n"/>
      <c r="CB5" s="30" t="n"/>
      <c r="CC5" s="30" t="n"/>
      <c r="CD5" s="29" t="inlineStr">
        <is>
          <t>Week 15</t>
        </is>
      </c>
      <c r="CE5" s="30" t="n"/>
      <c r="CF5" s="30" t="n"/>
      <c r="CG5" s="30" t="n"/>
      <c r="CH5" s="30" t="n"/>
      <c r="CI5" s="29" t="inlineStr">
        <is>
          <t>Week 16</t>
        </is>
      </c>
      <c r="CJ5" s="30" t="n"/>
      <c r="CK5" s="30" t="n"/>
      <c r="CL5" s="30" t="n"/>
      <c r="CM5" s="31" t="n"/>
    </row>
    <row r="6">
      <c r="A6" s="32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4">
        <f>$C$3-WEEKDAY($C$3,2)+1</f>
        <v/>
      </c>
      <c r="M6" s="34">
        <f>L6+1</f>
        <v/>
      </c>
      <c r="N6" s="34">
        <f>M6+1</f>
        <v/>
      </c>
      <c r="O6" s="34">
        <f>N6+1</f>
        <v/>
      </c>
      <c r="P6" s="34">
        <f>O6+1</f>
        <v/>
      </c>
      <c r="Q6" s="35">
        <f>P6+3</f>
        <v/>
      </c>
      <c r="R6" s="36">
        <f>Q6+1</f>
        <v/>
      </c>
      <c r="S6" s="36">
        <f>R6+1</f>
        <v/>
      </c>
      <c r="T6" s="36">
        <f>S6+1</f>
        <v/>
      </c>
      <c r="U6" s="37">
        <f>T6+1</f>
        <v/>
      </c>
      <c r="V6" s="35">
        <f>U6+3</f>
        <v/>
      </c>
      <c r="W6" s="36">
        <f>V6+1</f>
        <v/>
      </c>
      <c r="X6" s="36">
        <f>W6+1</f>
        <v/>
      </c>
      <c r="Y6" s="36">
        <f>X6+1</f>
        <v/>
      </c>
      <c r="Z6" s="37">
        <f>Y6+1</f>
        <v/>
      </c>
      <c r="AA6" s="35">
        <f>Z6+3</f>
        <v/>
      </c>
      <c r="AB6" s="36">
        <f>AA6+1</f>
        <v/>
      </c>
      <c r="AC6" s="36">
        <f>AB6+1</f>
        <v/>
      </c>
      <c r="AD6" s="36">
        <f>AC6+1</f>
        <v/>
      </c>
      <c r="AE6" s="36">
        <f>AD6+1</f>
        <v/>
      </c>
      <c r="AF6" s="38">
        <f>AE6+3</f>
        <v/>
      </c>
      <c r="AG6" s="39">
        <f>AF6+1</f>
        <v/>
      </c>
      <c r="AH6" s="39">
        <f>AG6+1</f>
        <v/>
      </c>
      <c r="AI6" s="39">
        <f>AH6+1</f>
        <v/>
      </c>
      <c r="AJ6" s="40">
        <f>AI6+1</f>
        <v/>
      </c>
      <c r="AK6" s="39">
        <f>AJ6+3</f>
        <v/>
      </c>
      <c r="AL6" s="39">
        <f>AK6+1</f>
        <v/>
      </c>
      <c r="AM6" s="39">
        <f>AL6+1</f>
        <v/>
      </c>
      <c r="AN6" s="39">
        <f>AM6+1</f>
        <v/>
      </c>
      <c r="AO6" s="40">
        <f>AN6+1</f>
        <v/>
      </c>
      <c r="AP6" s="39">
        <f>AO6+3</f>
        <v/>
      </c>
      <c r="AQ6" s="39">
        <f>AP6+1</f>
        <v/>
      </c>
      <c r="AR6" s="39">
        <f>AQ6+1</f>
        <v/>
      </c>
      <c r="AS6" s="39">
        <f>AR6+1</f>
        <v/>
      </c>
      <c r="AT6" s="40">
        <f>AS6+1</f>
        <v/>
      </c>
      <c r="AU6" s="39">
        <f>AT6+3</f>
        <v/>
      </c>
      <c r="AV6" s="39">
        <f>AU6+1</f>
        <v/>
      </c>
      <c r="AW6" s="39">
        <f>AV6+1</f>
        <v/>
      </c>
      <c r="AX6" s="39">
        <f>AW6+1</f>
        <v/>
      </c>
      <c r="AY6" s="39">
        <f>AX6+1</f>
        <v/>
      </c>
      <c r="AZ6" s="41">
        <f>AY6+3</f>
        <v/>
      </c>
      <c r="BA6" s="42">
        <f>AZ6+1</f>
        <v/>
      </c>
      <c r="BB6" s="42">
        <f>BA6+1</f>
        <v/>
      </c>
      <c r="BC6" s="42">
        <f>BB6+1</f>
        <v/>
      </c>
      <c r="BD6" s="42">
        <f>BC6+1</f>
        <v/>
      </c>
      <c r="BE6" s="41">
        <f>BD6+3</f>
        <v/>
      </c>
      <c r="BF6" s="42">
        <f>BE6+1</f>
        <v/>
      </c>
      <c r="BG6" s="42">
        <f>BF6+1</f>
        <v/>
      </c>
      <c r="BH6" s="42">
        <f>BG6+1</f>
        <v/>
      </c>
      <c r="BI6" s="42">
        <f>BH6+1</f>
        <v/>
      </c>
      <c r="BJ6" s="41">
        <f>BI6+3</f>
        <v/>
      </c>
      <c r="BK6" s="42">
        <f>BJ6+1</f>
        <v/>
      </c>
      <c r="BL6" s="42">
        <f>BK6+1</f>
        <v/>
      </c>
      <c r="BM6" s="42">
        <f>BL6+1</f>
        <v/>
      </c>
      <c r="BN6" s="42">
        <f>BM6+1</f>
        <v/>
      </c>
      <c r="BO6" s="41">
        <f>BN6+3</f>
        <v/>
      </c>
      <c r="BP6" s="42">
        <f>BO6+1</f>
        <v/>
      </c>
      <c r="BQ6" s="42">
        <f>BP6+1</f>
        <v/>
      </c>
      <c r="BR6" s="42">
        <f>BQ6+1</f>
        <v/>
      </c>
      <c r="BS6" s="42">
        <f>BR6+1</f>
        <v/>
      </c>
      <c r="BT6" s="43">
        <f>BS6+3</f>
        <v/>
      </c>
      <c r="BU6" s="44">
        <f>BT6+1</f>
        <v/>
      </c>
      <c r="BV6" s="44">
        <f>BU6+1</f>
        <v/>
      </c>
      <c r="BW6" s="44">
        <f>BV6+1</f>
        <v/>
      </c>
      <c r="BX6" s="44">
        <f>BW6+1</f>
        <v/>
      </c>
      <c r="BY6" s="43">
        <f>BX6+3</f>
        <v/>
      </c>
      <c r="BZ6" s="44">
        <f>BY6+1</f>
        <v/>
      </c>
      <c r="CA6" s="44">
        <f>BZ6+1</f>
        <v/>
      </c>
      <c r="CB6" s="44">
        <f>CA6+1</f>
        <v/>
      </c>
      <c r="CC6" s="44">
        <f>CB6+1</f>
        <v/>
      </c>
      <c r="CD6" s="43">
        <f>CC6+3</f>
        <v/>
      </c>
      <c r="CE6" s="44">
        <f>CD6+1</f>
        <v/>
      </c>
      <c r="CF6" s="44">
        <f>CE6+1</f>
        <v/>
      </c>
      <c r="CG6" s="44">
        <f>CF6+1</f>
        <v/>
      </c>
      <c r="CH6" s="44">
        <f>CG6+1</f>
        <v/>
      </c>
      <c r="CI6" s="43">
        <f>CH6+3</f>
        <v/>
      </c>
      <c r="CJ6" s="44">
        <f>CI6+1</f>
        <v/>
      </c>
      <c r="CK6" s="44">
        <f>CJ6+1</f>
        <v/>
      </c>
      <c r="CL6" s="44">
        <f>CK6+1</f>
        <v/>
      </c>
      <c r="CM6" s="45">
        <f>CL6+1</f>
        <v/>
      </c>
    </row>
    <row r="7">
      <c r="A7" s="32" t="n"/>
      <c r="B7" s="46" t="n"/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7" t="inlineStr">
        <is>
          <t>M</t>
        </is>
      </c>
      <c r="M7" s="48" t="inlineStr">
        <is>
          <t>T</t>
        </is>
      </c>
      <c r="N7" s="48" t="inlineStr">
        <is>
          <t>W</t>
        </is>
      </c>
      <c r="O7" s="48" t="inlineStr">
        <is>
          <t>R</t>
        </is>
      </c>
      <c r="P7" s="48" t="inlineStr">
        <is>
          <t>F</t>
        </is>
      </c>
      <c r="Q7" s="49" t="inlineStr">
        <is>
          <t>M</t>
        </is>
      </c>
      <c r="R7" s="49" t="inlineStr">
        <is>
          <t>T</t>
        </is>
      </c>
      <c r="S7" s="49" t="inlineStr">
        <is>
          <t>W</t>
        </is>
      </c>
      <c r="T7" s="49" t="inlineStr">
        <is>
          <t>R</t>
        </is>
      </c>
      <c r="U7" s="49" t="inlineStr">
        <is>
          <t>F</t>
        </is>
      </c>
      <c r="V7" s="49" t="inlineStr">
        <is>
          <t>M</t>
        </is>
      </c>
      <c r="W7" s="49" t="inlineStr">
        <is>
          <t>T</t>
        </is>
      </c>
      <c r="X7" s="49" t="inlineStr">
        <is>
          <t>W</t>
        </is>
      </c>
      <c r="Y7" s="49" t="inlineStr">
        <is>
          <t>R</t>
        </is>
      </c>
      <c r="Z7" s="49" t="inlineStr">
        <is>
          <t>F</t>
        </is>
      </c>
      <c r="AA7" s="49" t="inlineStr">
        <is>
          <t>M</t>
        </is>
      </c>
      <c r="AB7" s="49" t="inlineStr">
        <is>
          <t>T</t>
        </is>
      </c>
      <c r="AC7" s="49" t="inlineStr">
        <is>
          <t>W</t>
        </is>
      </c>
      <c r="AD7" s="49" t="inlineStr">
        <is>
          <t>R</t>
        </is>
      </c>
      <c r="AE7" s="49" t="inlineStr">
        <is>
          <t>F</t>
        </is>
      </c>
      <c r="AF7" s="50" t="inlineStr">
        <is>
          <t>M</t>
        </is>
      </c>
      <c r="AG7" s="50" t="inlineStr">
        <is>
          <t>T</t>
        </is>
      </c>
      <c r="AH7" s="50" t="inlineStr">
        <is>
          <t>W</t>
        </is>
      </c>
      <c r="AI7" s="50" t="inlineStr">
        <is>
          <t>R</t>
        </is>
      </c>
      <c r="AJ7" s="50" t="inlineStr">
        <is>
          <t>F</t>
        </is>
      </c>
      <c r="AK7" s="50" t="inlineStr">
        <is>
          <t>M</t>
        </is>
      </c>
      <c r="AL7" s="50" t="inlineStr">
        <is>
          <t>T</t>
        </is>
      </c>
      <c r="AM7" s="50" t="inlineStr">
        <is>
          <t>W</t>
        </is>
      </c>
      <c r="AN7" s="50" t="inlineStr">
        <is>
          <t>R</t>
        </is>
      </c>
      <c r="AO7" s="50" t="inlineStr">
        <is>
          <t>F</t>
        </is>
      </c>
      <c r="AP7" s="50" t="inlineStr">
        <is>
          <t>M</t>
        </is>
      </c>
      <c r="AQ7" s="50" t="inlineStr">
        <is>
          <t>T</t>
        </is>
      </c>
      <c r="AR7" s="50" t="inlineStr">
        <is>
          <t>W</t>
        </is>
      </c>
      <c r="AS7" s="50" t="inlineStr">
        <is>
          <t>R</t>
        </is>
      </c>
      <c r="AT7" s="50" t="inlineStr">
        <is>
          <t>F</t>
        </is>
      </c>
      <c r="AU7" s="50" t="inlineStr">
        <is>
          <t>M</t>
        </is>
      </c>
      <c r="AV7" s="50" t="inlineStr">
        <is>
          <t>T</t>
        </is>
      </c>
      <c r="AW7" s="50" t="inlineStr">
        <is>
          <t>W</t>
        </is>
      </c>
      <c r="AX7" s="50" t="inlineStr">
        <is>
          <t>R</t>
        </is>
      </c>
      <c r="AY7" s="50" t="inlineStr">
        <is>
          <t>F</t>
        </is>
      </c>
      <c r="AZ7" s="51" t="inlineStr">
        <is>
          <t>M</t>
        </is>
      </c>
      <c r="BA7" s="51" t="inlineStr">
        <is>
          <t>T</t>
        </is>
      </c>
      <c r="BB7" s="51" t="inlineStr">
        <is>
          <t>W</t>
        </is>
      </c>
      <c r="BC7" s="51" t="inlineStr">
        <is>
          <t>R</t>
        </is>
      </c>
      <c r="BD7" s="51" t="inlineStr">
        <is>
          <t>F</t>
        </is>
      </c>
      <c r="BE7" s="51" t="inlineStr">
        <is>
          <t>M</t>
        </is>
      </c>
      <c r="BF7" s="51" t="inlineStr">
        <is>
          <t>T</t>
        </is>
      </c>
      <c r="BG7" s="51" t="inlineStr">
        <is>
          <t>W</t>
        </is>
      </c>
      <c r="BH7" s="51" t="inlineStr">
        <is>
          <t>R</t>
        </is>
      </c>
      <c r="BI7" s="51" t="inlineStr">
        <is>
          <t>F</t>
        </is>
      </c>
      <c r="BJ7" s="51" t="inlineStr">
        <is>
          <t>M</t>
        </is>
      </c>
      <c r="BK7" s="51" t="inlineStr">
        <is>
          <t>T</t>
        </is>
      </c>
      <c r="BL7" s="51" t="inlineStr">
        <is>
          <t>W</t>
        </is>
      </c>
      <c r="BM7" s="51" t="inlineStr">
        <is>
          <t>R</t>
        </is>
      </c>
      <c r="BN7" s="51" t="inlineStr">
        <is>
          <t>F</t>
        </is>
      </c>
      <c r="BO7" s="51" t="inlineStr">
        <is>
          <t>M</t>
        </is>
      </c>
      <c r="BP7" s="51" t="inlineStr">
        <is>
          <t>T</t>
        </is>
      </c>
      <c r="BQ7" s="51" t="inlineStr">
        <is>
          <t>W</t>
        </is>
      </c>
      <c r="BR7" s="51" t="inlineStr">
        <is>
          <t>R</t>
        </is>
      </c>
      <c r="BS7" s="51" t="inlineStr">
        <is>
          <t>F</t>
        </is>
      </c>
      <c r="BT7" s="52" t="inlineStr">
        <is>
          <t>M</t>
        </is>
      </c>
      <c r="BU7" s="52" t="inlineStr">
        <is>
          <t>T</t>
        </is>
      </c>
      <c r="BV7" s="52" t="inlineStr">
        <is>
          <t>W</t>
        </is>
      </c>
      <c r="BW7" s="52" t="inlineStr">
        <is>
          <t>R</t>
        </is>
      </c>
      <c r="BX7" s="52" t="inlineStr">
        <is>
          <t>F</t>
        </is>
      </c>
      <c r="BY7" s="52" t="inlineStr">
        <is>
          <t>M</t>
        </is>
      </c>
      <c r="BZ7" s="52" t="inlineStr">
        <is>
          <t>T</t>
        </is>
      </c>
      <c r="CA7" s="52" t="inlineStr">
        <is>
          <t>W</t>
        </is>
      </c>
      <c r="CB7" s="52" t="inlineStr">
        <is>
          <t>R</t>
        </is>
      </c>
      <c r="CC7" s="52" t="inlineStr">
        <is>
          <t>F</t>
        </is>
      </c>
      <c r="CD7" s="52" t="inlineStr">
        <is>
          <t>M</t>
        </is>
      </c>
      <c r="CE7" s="52" t="inlineStr">
        <is>
          <t>T</t>
        </is>
      </c>
      <c r="CF7" s="52" t="inlineStr">
        <is>
          <t>W</t>
        </is>
      </c>
      <c r="CG7" s="52" t="inlineStr">
        <is>
          <t>R</t>
        </is>
      </c>
      <c r="CH7" s="52" t="inlineStr">
        <is>
          <t>F</t>
        </is>
      </c>
      <c r="CI7" s="52" t="inlineStr">
        <is>
          <t>M</t>
        </is>
      </c>
      <c r="CJ7" s="52" t="inlineStr">
        <is>
          <t>T</t>
        </is>
      </c>
      <c r="CK7" s="52" t="inlineStr">
        <is>
          <t>W</t>
        </is>
      </c>
      <c r="CL7" s="52" t="inlineStr">
        <is>
          <t>R</t>
        </is>
      </c>
      <c r="CM7" s="52" t="inlineStr">
        <is>
          <t>F</t>
        </is>
      </c>
    </row>
    <row r="8">
      <c r="A8" s="1" t="n"/>
      <c r="B8" s="53" t="inlineStr">
        <is>
          <t>0</t>
        </is>
      </c>
      <c r="C8" s="54" t="inlineStr">
        <is>
          <t>P0 構想・事業モデル</t>
        </is>
      </c>
      <c r="D8" s="54" t="n"/>
      <c r="E8" s="54" t="inlineStr">
        <is>
          <t>創業者の目的と制約を言語化し、「〇〇をやります」まで事業を具体化してGate L1(Go/No-Go)を通す</t>
        </is>
      </c>
      <c r="F8" s="54" t="n"/>
      <c r="G8" s="54" t="n"/>
      <c r="H8" s="55" t="n"/>
      <c r="I8" s="55" t="n"/>
      <c r="J8" s="56" t="n"/>
      <c r="K8" s="57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58" t="n"/>
      <c r="W8" s="58" t="n"/>
      <c r="X8" s="58" t="n"/>
      <c r="Y8" s="58" t="n"/>
      <c r="Z8" s="58" t="n"/>
      <c r="AA8" s="58" t="n"/>
      <c r="AB8" s="58" t="n"/>
      <c r="AC8" s="58" t="n"/>
      <c r="AD8" s="58" t="n"/>
      <c r="AE8" s="58" t="n"/>
      <c r="AF8" s="58" t="n"/>
      <c r="AG8" s="58" t="n"/>
      <c r="AH8" s="58" t="n"/>
      <c r="AI8" s="58" t="n"/>
      <c r="AJ8" s="58" t="n"/>
      <c r="AK8" s="58" t="n"/>
      <c r="AL8" s="58" t="n"/>
      <c r="AM8" s="58" t="n"/>
      <c r="AN8" s="58" t="n"/>
      <c r="AO8" s="58" t="n"/>
      <c r="AP8" s="58" t="n"/>
      <c r="AQ8" s="58" t="n"/>
      <c r="AR8" s="58" t="n"/>
      <c r="AS8" s="58" t="n"/>
      <c r="AT8" s="58" t="n"/>
      <c r="AU8" s="58" t="n"/>
      <c r="AV8" s="58" t="n"/>
      <c r="AW8" s="58" t="n"/>
      <c r="AX8" s="58" t="n"/>
      <c r="AY8" s="58" t="n"/>
      <c r="AZ8" s="58" t="n"/>
      <c r="BA8" s="58" t="n"/>
      <c r="BB8" s="58" t="n"/>
      <c r="BC8" s="58" t="n"/>
      <c r="BD8" s="58" t="n"/>
      <c r="BE8" s="58" t="n"/>
      <c r="BF8" s="58" t="n"/>
      <c r="BG8" s="58" t="n"/>
      <c r="BH8" s="58" t="n"/>
      <c r="BI8" s="58" t="n"/>
      <c r="BJ8" s="58" t="n"/>
      <c r="BK8" s="58" t="n"/>
      <c r="BL8" s="58" t="n"/>
      <c r="BM8" s="58" t="n"/>
      <c r="BN8" s="58" t="n"/>
      <c r="BO8" s="58" t="n"/>
      <c r="BP8" s="58" t="n"/>
      <c r="BQ8" s="58" t="n"/>
      <c r="BR8" s="58" t="n"/>
      <c r="BS8" s="58" t="n"/>
      <c r="BT8" s="58" t="n"/>
      <c r="BU8" s="58" t="n"/>
      <c r="BV8" s="58" t="n"/>
      <c r="BW8" s="58" t="n"/>
      <c r="BX8" s="58" t="n"/>
      <c r="BY8" s="58" t="n"/>
      <c r="BZ8" s="58" t="n"/>
      <c r="CA8" s="58" t="n"/>
      <c r="CB8" s="58" t="n"/>
      <c r="CC8" s="58" t="n"/>
      <c r="CD8" s="58" t="n"/>
      <c r="CE8" s="58" t="n"/>
      <c r="CF8" s="58" t="n"/>
      <c r="CG8" s="58" t="n"/>
      <c r="CH8" s="58" t="n"/>
      <c r="CI8" s="58" t="n"/>
      <c r="CJ8" s="58" t="n"/>
      <c r="CK8" s="58" t="n"/>
      <c r="CL8" s="58" t="n"/>
      <c r="CM8" s="58" t="n"/>
    </row>
    <row r="9">
      <c r="A9" s="1" t="n"/>
      <c r="B9" s="59" t="inlineStr">
        <is>
          <t>0.1</t>
        </is>
      </c>
      <c r="C9" s="60" t="inlineStr">
        <is>
          <t>P0 構想・事業モデル</t>
        </is>
      </c>
      <c r="D9" s="61" t="inlineStr">
        <is>
          <t>立ち上げ目的・制約のヒアリング</t>
        </is>
      </c>
      <c r="E9" s="61" t="inlineStr">
        <is>
          <t>創業者の目的・投下可能資金・稼働時間・スキル・リスク許容度を確認票に記入する［担当: business-launch／協働］</t>
        </is>
      </c>
      <c r="F9" s="62" t="n"/>
      <c r="G9" s="60" t="inlineStr">
        <is>
          <t>launch-intake(Launch Brief §0)</t>
        </is>
      </c>
      <c r="H9" s="63" t="n">
        <v>46328</v>
      </c>
      <c r="I9" s="63" t="n">
        <v>46329</v>
      </c>
      <c r="J9" s="64">
        <f>IF(AND(H9&lt;&gt;"",I9&lt;&gt;""),DAYS(I9,H9)+1,"")</f>
        <v/>
      </c>
      <c r="K9" s="65" t="n">
        <v>0</v>
      </c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  <c r="AO9" s="66" t="n"/>
      <c r="AP9" s="66" t="n"/>
      <c r="AQ9" s="66" t="n"/>
      <c r="AR9" s="66" t="n"/>
      <c r="AS9" s="66" t="n"/>
      <c r="AT9" s="66" t="n"/>
      <c r="AU9" s="66" t="n"/>
      <c r="AV9" s="66" t="n"/>
      <c r="AW9" s="66" t="n"/>
      <c r="AX9" s="66" t="n"/>
      <c r="AY9" s="66" t="n"/>
      <c r="AZ9" s="66" t="n"/>
      <c r="BA9" s="66" t="n"/>
      <c r="BB9" s="66" t="n"/>
      <c r="BC9" s="66" t="n"/>
      <c r="BD9" s="66" t="n"/>
      <c r="BE9" s="66" t="n"/>
      <c r="BF9" s="66" t="n"/>
      <c r="BG9" s="66" t="n"/>
      <c r="BH9" s="66" t="n"/>
      <c r="BI9" s="66" t="n"/>
      <c r="BJ9" s="66" t="n"/>
      <c r="BK9" s="66" t="n"/>
      <c r="BL9" s="66" t="n"/>
      <c r="BM9" s="66" t="n"/>
      <c r="BN9" s="66" t="n"/>
      <c r="BO9" s="66" t="n"/>
      <c r="BP9" s="66" t="n"/>
      <c r="BQ9" s="66" t="n"/>
      <c r="BR9" s="66" t="n"/>
      <c r="BS9" s="66" t="n"/>
      <c r="BT9" s="66" t="n"/>
      <c r="BU9" s="66" t="n"/>
      <c r="BV9" s="66" t="n"/>
      <c r="BW9" s="66" t="n"/>
      <c r="BX9" s="66" t="n"/>
      <c r="BY9" s="66" t="n"/>
      <c r="BZ9" s="66" t="n"/>
      <c r="CA9" s="66" t="n"/>
      <c r="CB9" s="66" t="n"/>
      <c r="CC9" s="66" t="n"/>
      <c r="CD9" s="66" t="n"/>
      <c r="CE9" s="66" t="n"/>
      <c r="CF9" s="66" t="n"/>
      <c r="CG9" s="66" t="n"/>
      <c r="CH9" s="66" t="n"/>
      <c r="CI9" s="66" t="n"/>
      <c r="CJ9" s="66" t="n"/>
      <c r="CK9" s="66" t="n"/>
      <c r="CL9" s="66" t="n"/>
      <c r="CM9" s="66" t="n"/>
    </row>
    <row r="10">
      <c r="A10" s="1" t="n"/>
      <c r="B10" s="59" t="inlineStr">
        <is>
          <t>0.2</t>
        </is>
      </c>
      <c r="C10" s="60" t="inlineStr">
        <is>
          <t>P0 構想・事業モデル</t>
        </is>
      </c>
      <c r="D10" s="61" t="inlineStr">
        <is>
          <t>自社(創業者)分析</t>
        </is>
      </c>
      <c r="E10" s="61" t="inlineStr">
        <is>
          <t>強み・弱み・保有リソースを棚卸しし、事業との適合を評価する［担当: business-launch / self-analysis／協働］［依存: 0.1］</t>
        </is>
      </c>
      <c r="F10" s="62" t="n"/>
      <c r="G10" s="60" t="inlineStr">
        <is>
          <t>self-analysis.md</t>
        </is>
      </c>
      <c r="H10" s="63" t="n">
        <v>46330</v>
      </c>
      <c r="I10" s="63" t="n">
        <v>46332</v>
      </c>
      <c r="J10" s="64">
        <f>IF(AND(H10&lt;&gt;"",I10&lt;&gt;""),DAYS(I10,H10)+1,"")</f>
        <v/>
      </c>
      <c r="K10" s="65" t="n">
        <v>0</v>
      </c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  <c r="AV10" s="66" t="n"/>
      <c r="AW10" s="66" t="n"/>
      <c r="AX10" s="66" t="n"/>
      <c r="AY10" s="66" t="n"/>
      <c r="AZ10" s="66" t="n"/>
      <c r="BA10" s="66" t="n"/>
      <c r="BB10" s="66" t="n"/>
      <c r="BC10" s="66" t="n"/>
      <c r="BD10" s="66" t="n"/>
      <c r="BE10" s="66" t="n"/>
      <c r="BF10" s="66" t="n"/>
      <c r="BG10" s="66" t="n"/>
      <c r="BH10" s="66" t="n"/>
      <c r="BI10" s="66" t="n"/>
      <c r="BJ10" s="66" t="n"/>
      <c r="BK10" s="66" t="n"/>
      <c r="BL10" s="66" t="n"/>
      <c r="BM10" s="66" t="n"/>
      <c r="BN10" s="66" t="n"/>
      <c r="BO10" s="66" t="n"/>
      <c r="BP10" s="66" t="n"/>
      <c r="BQ10" s="66" t="n"/>
      <c r="BR10" s="66" t="n"/>
      <c r="BS10" s="66" t="n"/>
      <c r="BT10" s="66" t="n"/>
      <c r="BU10" s="66" t="n"/>
      <c r="BV10" s="66" t="n"/>
      <c r="BW10" s="66" t="n"/>
      <c r="BX10" s="66" t="n"/>
      <c r="BY10" s="66" t="n"/>
      <c r="BZ10" s="66" t="n"/>
      <c r="CA10" s="66" t="n"/>
      <c r="CB10" s="66" t="n"/>
      <c r="CC10" s="66" t="n"/>
      <c r="CD10" s="66" t="n"/>
      <c r="CE10" s="66" t="n"/>
      <c r="CF10" s="66" t="n"/>
      <c r="CG10" s="66" t="n"/>
      <c r="CH10" s="66" t="n"/>
      <c r="CI10" s="66" t="n"/>
      <c r="CJ10" s="66" t="n"/>
      <c r="CK10" s="66" t="n"/>
      <c r="CL10" s="66" t="n"/>
      <c r="CM10" s="66" t="n"/>
    </row>
    <row r="11">
      <c r="A11" s="1" t="n"/>
      <c r="B11" s="59" t="inlineStr">
        <is>
          <t>0.3</t>
        </is>
      </c>
      <c r="C11" s="60" t="inlineStr">
        <is>
          <t>P0 構想・事業モデル</t>
        </is>
      </c>
      <c r="D11" s="61" t="inlineStr">
        <is>
          <t>市場調査・競合/企業分析</t>
        </is>
      </c>
      <c r="E11" s="61" t="inlineStr">
        <is>
          <t>市場規模・競合3社以上の事業/価格/集客を一次情報で調査する［担当: market-research / company-analysis／AI］［依存: 0.1］</t>
        </is>
      </c>
      <c r="F11" s="62" t="n"/>
      <c r="G11" s="60" t="inlineStr">
        <is>
          <t>company-analysis.md</t>
        </is>
      </c>
      <c r="H11" s="63" t="n">
        <v>46330</v>
      </c>
      <c r="I11" s="63" t="n">
        <v>46336</v>
      </c>
      <c r="J11" s="64">
        <f>IF(AND(H11&lt;&gt;"",I11&lt;&gt;""),DAYS(I11,H11)+1,"")</f>
        <v/>
      </c>
      <c r="K11" s="65" t="n">
        <v>0</v>
      </c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  <c r="AO11" s="66" t="n"/>
      <c r="AP11" s="66" t="n"/>
      <c r="AQ11" s="66" t="n"/>
      <c r="AR11" s="66" t="n"/>
      <c r="AS11" s="66" t="n"/>
      <c r="AT11" s="66" t="n"/>
      <c r="AU11" s="66" t="n"/>
      <c r="AV11" s="66" t="n"/>
      <c r="AW11" s="66" t="n"/>
      <c r="AX11" s="66" t="n"/>
      <c r="AY11" s="66" t="n"/>
      <c r="AZ11" s="66" t="n"/>
      <c r="BA11" s="66" t="n"/>
      <c r="BB11" s="66" t="n"/>
      <c r="BC11" s="66" t="n"/>
      <c r="BD11" s="66" t="n"/>
      <c r="BE11" s="66" t="n"/>
      <c r="BF11" s="66" t="n"/>
      <c r="BG11" s="66" t="n"/>
      <c r="BH11" s="66" t="n"/>
      <c r="BI11" s="66" t="n"/>
      <c r="BJ11" s="66" t="n"/>
      <c r="BK11" s="66" t="n"/>
      <c r="BL11" s="66" t="n"/>
      <c r="BM11" s="66" t="n"/>
      <c r="BN11" s="66" t="n"/>
      <c r="BO11" s="66" t="n"/>
      <c r="BP11" s="66" t="n"/>
      <c r="BQ11" s="66" t="n"/>
      <c r="BR11" s="66" t="n"/>
      <c r="BS11" s="66" t="n"/>
      <c r="BT11" s="66" t="n"/>
      <c r="BU11" s="66" t="n"/>
      <c r="BV11" s="66" t="n"/>
      <c r="BW11" s="66" t="n"/>
      <c r="BX11" s="66" t="n"/>
      <c r="BY11" s="66" t="n"/>
      <c r="BZ11" s="66" t="n"/>
      <c r="CA11" s="66" t="n"/>
      <c r="CB11" s="66" t="n"/>
      <c r="CC11" s="66" t="n"/>
      <c r="CD11" s="66" t="n"/>
      <c r="CE11" s="66" t="n"/>
      <c r="CF11" s="66" t="n"/>
      <c r="CG11" s="66" t="n"/>
      <c r="CH11" s="66" t="n"/>
      <c r="CI11" s="66" t="n"/>
      <c r="CJ11" s="66" t="n"/>
      <c r="CK11" s="66" t="n"/>
      <c r="CL11" s="66" t="n"/>
      <c r="CM11" s="66" t="n"/>
    </row>
    <row r="12">
      <c r="A12" s="1" t="n"/>
      <c r="B12" s="59" t="inlineStr">
        <is>
          <t>0.4</t>
        </is>
      </c>
      <c r="C12" s="60" t="inlineStr">
        <is>
          <t>P0 構想・事業モデル</t>
        </is>
      </c>
      <c r="D12" s="61" t="inlineStr">
        <is>
          <t>ビジネスモデル設計</t>
        </is>
      </c>
      <c r="E12" s="61" t="inlineStr">
        <is>
          <t>Lean Canvas・価値提案・収益モデル・ユニットエコノミクスを作成し「〇〇をやります」を1文で宣言する［担当: business-launch / business-strategy／AI］［依存: 0.2, 0.3］</t>
        </is>
      </c>
      <c r="F12" s="62" t="n"/>
      <c r="G12" s="60" t="inlineStr">
        <is>
          <t>Launch Brief §1 / lean-canvas.md</t>
        </is>
      </c>
      <c r="H12" s="63" t="n">
        <v>46337</v>
      </c>
      <c r="I12" s="63" t="n">
        <v>46342</v>
      </c>
      <c r="J12" s="64">
        <f>IF(AND(H12&lt;&gt;"",I12&lt;&gt;""),DAYS(I12,H12)+1,"")</f>
        <v/>
      </c>
      <c r="K12" s="65" t="n">
        <v>0</v>
      </c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  <c r="AV12" s="66" t="n"/>
      <c r="AW12" s="66" t="n"/>
      <c r="AX12" s="66" t="n"/>
      <c r="AY12" s="66" t="n"/>
      <c r="AZ12" s="66" t="n"/>
      <c r="BA12" s="66" t="n"/>
      <c r="BB12" s="66" t="n"/>
      <c r="BC12" s="66" t="n"/>
      <c r="BD12" s="66" t="n"/>
      <c r="BE12" s="66" t="n"/>
      <c r="BF12" s="66" t="n"/>
      <c r="BG12" s="66" t="n"/>
      <c r="BH12" s="66" t="n"/>
      <c r="BI12" s="66" t="n"/>
      <c r="BJ12" s="66" t="n"/>
      <c r="BK12" s="66" t="n"/>
      <c r="BL12" s="66" t="n"/>
      <c r="BM12" s="66" t="n"/>
      <c r="BN12" s="66" t="n"/>
      <c r="BO12" s="66" t="n"/>
      <c r="BP12" s="66" t="n"/>
      <c r="BQ12" s="66" t="n"/>
      <c r="BR12" s="66" t="n"/>
      <c r="BS12" s="66" t="n"/>
      <c r="BT12" s="66" t="n"/>
      <c r="BU12" s="66" t="n"/>
      <c r="BV12" s="66" t="n"/>
      <c r="BW12" s="66" t="n"/>
      <c r="BX12" s="66" t="n"/>
      <c r="BY12" s="66" t="n"/>
      <c r="BZ12" s="66" t="n"/>
      <c r="CA12" s="66" t="n"/>
      <c r="CB12" s="66" t="n"/>
      <c r="CC12" s="66" t="n"/>
      <c r="CD12" s="66" t="n"/>
      <c r="CE12" s="66" t="n"/>
      <c r="CF12" s="66" t="n"/>
      <c r="CG12" s="66" t="n"/>
      <c r="CH12" s="66" t="n"/>
      <c r="CI12" s="66" t="n"/>
      <c r="CJ12" s="66" t="n"/>
      <c r="CK12" s="66" t="n"/>
      <c r="CL12" s="66" t="n"/>
      <c r="CM12" s="66" t="n"/>
    </row>
    <row r="13">
      <c r="A13" s="1" t="n"/>
      <c r="B13" s="59" t="inlineStr">
        <is>
          <t>0.5</t>
        </is>
      </c>
      <c r="C13" s="60" t="inlineStr">
        <is>
          <t>P0 構想・事業モデル</t>
        </is>
      </c>
      <c r="D13" s="61" t="inlineStr">
        <is>
          <t>Go/No-Go判断(Gate L1)</t>
        </is>
      </c>
      <c r="E13" s="61" t="inlineStr">
        <is>
          <t>事業として進めるかをOwnerが判断する［担当: 人間(Owner) / ceo／人間］［Gate L1］［依存: 0.4］</t>
        </is>
      </c>
      <c r="F13" s="62" t="n"/>
      <c r="G13" s="60" t="inlineStr">
        <is>
          <t>Decision Log</t>
        </is>
      </c>
      <c r="H13" s="63" t="n">
        <v>46343</v>
      </c>
      <c r="I13" s="63" t="n">
        <v>46343</v>
      </c>
      <c r="J13" s="64">
        <f>IF(AND(H13&lt;&gt;"",I13&lt;&gt;""),DAYS(I13,H13)+1,"")</f>
        <v/>
      </c>
      <c r="K13" s="65" t="n">
        <v>0</v>
      </c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  <c r="AG13" s="66" t="n"/>
      <c r="AH13" s="66" t="n"/>
      <c r="AI13" s="66" t="n"/>
      <c r="AJ13" s="66" t="n"/>
      <c r="AK13" s="66" t="n"/>
      <c r="AL13" s="66" t="n"/>
      <c r="AM13" s="66" t="n"/>
      <c r="AN13" s="66" t="n"/>
      <c r="AO13" s="66" t="n"/>
      <c r="AP13" s="66" t="n"/>
      <c r="AQ13" s="66" t="n"/>
      <c r="AR13" s="66" t="n"/>
      <c r="AS13" s="66" t="n"/>
      <c r="AT13" s="66" t="n"/>
      <c r="AU13" s="66" t="n"/>
      <c r="AV13" s="66" t="n"/>
      <c r="AW13" s="66" t="n"/>
      <c r="AX13" s="66" t="n"/>
      <c r="AY13" s="66" t="n"/>
      <c r="AZ13" s="66" t="n"/>
      <c r="BA13" s="66" t="n"/>
      <c r="BB13" s="66" t="n"/>
      <c r="BC13" s="66" t="n"/>
      <c r="BD13" s="66" t="n"/>
      <c r="BE13" s="66" t="n"/>
      <c r="BF13" s="66" t="n"/>
      <c r="BG13" s="66" t="n"/>
      <c r="BH13" s="66" t="n"/>
      <c r="BI13" s="66" t="n"/>
      <c r="BJ13" s="66" t="n"/>
      <c r="BK13" s="66" t="n"/>
      <c r="BL13" s="66" t="n"/>
      <c r="BM13" s="66" t="n"/>
      <c r="BN13" s="66" t="n"/>
      <c r="BO13" s="66" t="n"/>
      <c r="BP13" s="66" t="n"/>
      <c r="BQ13" s="66" t="n"/>
      <c r="BR13" s="66" t="n"/>
      <c r="BS13" s="66" t="n"/>
      <c r="BT13" s="66" t="n"/>
      <c r="BU13" s="66" t="n"/>
      <c r="BV13" s="66" t="n"/>
      <c r="BW13" s="66" t="n"/>
      <c r="BX13" s="66" t="n"/>
      <c r="BY13" s="66" t="n"/>
      <c r="BZ13" s="66" t="n"/>
      <c r="CA13" s="66" t="n"/>
      <c r="CB13" s="66" t="n"/>
      <c r="CC13" s="66" t="n"/>
      <c r="CD13" s="66" t="n"/>
      <c r="CE13" s="66" t="n"/>
      <c r="CF13" s="66" t="n"/>
      <c r="CG13" s="66" t="n"/>
      <c r="CH13" s="66" t="n"/>
      <c r="CI13" s="66" t="n"/>
      <c r="CJ13" s="66" t="n"/>
      <c r="CK13" s="66" t="n"/>
      <c r="CL13" s="66" t="n"/>
      <c r="CM13" s="66" t="n"/>
    </row>
    <row r="14">
      <c r="A14" s="1" t="n"/>
      <c r="B14" s="53" t="inlineStr">
        <is>
          <t>1</t>
        </is>
      </c>
      <c r="C14" s="54" t="inlineStr">
        <is>
          <t>P1 資金計画・資本設計</t>
        </is>
      </c>
      <c r="D14" s="54" t="n"/>
      <c r="E14" s="54" t="inlineStr">
        <is>
          <t>必要資金を逆算し、資本金・借入・補助金の構成と役員報酬を決めてGate L2を通す</t>
        </is>
      </c>
      <c r="F14" s="54" t="n"/>
      <c r="G14" s="54" t="n"/>
      <c r="H14" s="55" t="n"/>
      <c r="I14" s="55" t="n"/>
      <c r="J14" s="56" t="n"/>
      <c r="K14" s="57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  <c r="AA14" s="58" t="n"/>
      <c r="AB14" s="58" t="n"/>
      <c r="AC14" s="58" t="n"/>
      <c r="AD14" s="58" t="n"/>
      <c r="AE14" s="58" t="n"/>
      <c r="AF14" s="58" t="n"/>
      <c r="AG14" s="58" t="n"/>
      <c r="AH14" s="58" t="n"/>
      <c r="AI14" s="58" t="n"/>
      <c r="AJ14" s="58" t="n"/>
      <c r="AK14" s="58" t="n"/>
      <c r="AL14" s="58" t="n"/>
      <c r="AM14" s="58" t="n"/>
      <c r="AN14" s="58" t="n"/>
      <c r="AO14" s="58" t="n"/>
      <c r="AP14" s="58" t="n"/>
      <c r="AQ14" s="58" t="n"/>
      <c r="AR14" s="58" t="n"/>
      <c r="AS14" s="58" t="n"/>
      <c r="AT14" s="58" t="n"/>
      <c r="AU14" s="58" t="n"/>
      <c r="AV14" s="58" t="n"/>
      <c r="AW14" s="58" t="n"/>
      <c r="AX14" s="58" t="n"/>
      <c r="AY14" s="58" t="n"/>
      <c r="AZ14" s="58" t="n"/>
      <c r="BA14" s="58" t="n"/>
      <c r="BB14" s="58" t="n"/>
      <c r="BC14" s="58" t="n"/>
      <c r="BD14" s="58" t="n"/>
      <c r="BE14" s="58" t="n"/>
      <c r="BF14" s="58" t="n"/>
      <c r="BG14" s="58" t="n"/>
      <c r="BH14" s="58" t="n"/>
      <c r="BI14" s="58" t="n"/>
      <c r="BJ14" s="58" t="n"/>
      <c r="BK14" s="58" t="n"/>
      <c r="BL14" s="58" t="n"/>
      <c r="BM14" s="58" t="n"/>
      <c r="BN14" s="58" t="n"/>
      <c r="BO14" s="58" t="n"/>
      <c r="BP14" s="58" t="n"/>
      <c r="BQ14" s="58" t="n"/>
      <c r="BR14" s="58" t="n"/>
      <c r="BS14" s="58" t="n"/>
      <c r="BT14" s="58" t="n"/>
      <c r="BU14" s="58" t="n"/>
      <c r="BV14" s="58" t="n"/>
      <c r="BW14" s="58" t="n"/>
      <c r="BX14" s="58" t="n"/>
      <c r="BY14" s="58" t="n"/>
      <c r="BZ14" s="58" t="n"/>
      <c r="CA14" s="58" t="n"/>
      <c r="CB14" s="58" t="n"/>
      <c r="CC14" s="58" t="n"/>
      <c r="CD14" s="58" t="n"/>
      <c r="CE14" s="58" t="n"/>
      <c r="CF14" s="58" t="n"/>
      <c r="CG14" s="58" t="n"/>
      <c r="CH14" s="58" t="n"/>
      <c r="CI14" s="58" t="n"/>
      <c r="CJ14" s="58" t="n"/>
      <c r="CK14" s="58" t="n"/>
      <c r="CL14" s="58" t="n"/>
      <c r="CM14" s="58" t="n"/>
    </row>
    <row r="15">
      <c r="A15" s="1" t="n"/>
      <c r="B15" s="59" t="inlineStr">
        <is>
          <t>1.1</t>
        </is>
      </c>
      <c r="C15" s="60" t="inlineStr">
        <is>
          <t>P1 資金計画・資本設計</t>
        </is>
      </c>
      <c r="D15" s="61" t="inlineStr">
        <is>
          <t>初期費用・固定費・変動費の洗い出し</t>
        </is>
      </c>
      <c r="E15" s="61" t="inlineStr">
        <is>
          <t>設立費用・初期投資・月次固定費・変動費を項目化し金額根拠を記録する［担当: business-launch / capital-planning／AI］［依存: 0.5］</t>
        </is>
      </c>
      <c r="F15" s="62" t="n"/>
      <c r="G15" s="60" t="inlineStr">
        <is>
          <t>capital-plan.md §1</t>
        </is>
      </c>
      <c r="H15" s="63" t="n">
        <v>46344</v>
      </c>
      <c r="I15" s="63" t="n">
        <v>46346</v>
      </c>
      <c r="J15" s="64">
        <f>IF(AND(H15&lt;&gt;"",I15&lt;&gt;""),DAYS(I15,H15)+1,"")</f>
        <v/>
      </c>
      <c r="K15" s="65" t="n">
        <v>0</v>
      </c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  <c r="AO15" s="66" t="n"/>
      <c r="AP15" s="66" t="n"/>
      <c r="AQ15" s="66" t="n"/>
      <c r="AR15" s="66" t="n"/>
      <c r="AS15" s="66" t="n"/>
      <c r="AT15" s="66" t="n"/>
      <c r="AU15" s="66" t="n"/>
      <c r="AV15" s="66" t="n"/>
      <c r="AW15" s="66" t="n"/>
      <c r="AX15" s="66" t="n"/>
      <c r="AY15" s="66" t="n"/>
      <c r="AZ15" s="66" t="n"/>
      <c r="BA15" s="66" t="n"/>
      <c r="BB15" s="66" t="n"/>
      <c r="BC15" s="66" t="n"/>
      <c r="BD15" s="66" t="n"/>
      <c r="BE15" s="66" t="n"/>
      <c r="BF15" s="66" t="n"/>
      <c r="BG15" s="66" t="n"/>
      <c r="BH15" s="66" t="n"/>
      <c r="BI15" s="66" t="n"/>
      <c r="BJ15" s="66" t="n"/>
      <c r="BK15" s="66" t="n"/>
      <c r="BL15" s="66" t="n"/>
      <c r="BM15" s="66" t="n"/>
      <c r="BN15" s="66" t="n"/>
      <c r="BO15" s="66" t="n"/>
      <c r="BP15" s="66" t="n"/>
      <c r="BQ15" s="66" t="n"/>
      <c r="BR15" s="66" t="n"/>
      <c r="BS15" s="66" t="n"/>
      <c r="BT15" s="66" t="n"/>
      <c r="BU15" s="66" t="n"/>
      <c r="BV15" s="66" t="n"/>
      <c r="BW15" s="66" t="n"/>
      <c r="BX15" s="66" t="n"/>
      <c r="BY15" s="66" t="n"/>
      <c r="BZ15" s="66" t="n"/>
      <c r="CA15" s="66" t="n"/>
      <c r="CB15" s="66" t="n"/>
      <c r="CC15" s="66" t="n"/>
      <c r="CD15" s="66" t="n"/>
      <c r="CE15" s="66" t="n"/>
      <c r="CF15" s="66" t="n"/>
      <c r="CG15" s="66" t="n"/>
      <c r="CH15" s="66" t="n"/>
      <c r="CI15" s="66" t="n"/>
      <c r="CJ15" s="66" t="n"/>
      <c r="CK15" s="66" t="n"/>
      <c r="CL15" s="66" t="n"/>
      <c r="CM15" s="66" t="n"/>
    </row>
    <row r="16">
      <c r="A16" s="1" t="n"/>
      <c r="B16" s="59" t="inlineStr">
        <is>
          <t>1.2</t>
        </is>
      </c>
      <c r="C16" s="60" t="inlineStr">
        <is>
          <t>P1 資金計画・資本設計</t>
        </is>
      </c>
      <c r="D16" s="61" t="inlineStr">
        <is>
          <t>月次資金繰り計画(24か月・3シナリオ)</t>
        </is>
      </c>
      <c r="E16" s="61" t="inlineStr">
        <is>
          <t>Worst/Base/Bestの資金繰りを作り資金ショート月を特定する［担当: business-launch / capital-planning／AI］［依存: 1.1］</t>
        </is>
      </c>
      <c r="F16" s="62" t="n"/>
      <c r="G16" s="60" t="inlineStr">
        <is>
          <t>finance-plan.csv</t>
        </is>
      </c>
      <c r="H16" s="63" t="n">
        <v>46349</v>
      </c>
      <c r="I16" s="63" t="n">
        <v>46351</v>
      </c>
      <c r="J16" s="64">
        <f>IF(AND(H16&lt;&gt;"",I16&lt;&gt;""),DAYS(I16,H16)+1,"")</f>
        <v/>
      </c>
      <c r="K16" s="65" t="n">
        <v>0</v>
      </c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  <c r="AV16" s="66" t="n"/>
      <c r="AW16" s="66" t="n"/>
      <c r="AX16" s="66" t="n"/>
      <c r="AY16" s="66" t="n"/>
      <c r="AZ16" s="66" t="n"/>
      <c r="BA16" s="66" t="n"/>
      <c r="BB16" s="66" t="n"/>
      <c r="BC16" s="66" t="n"/>
      <c r="BD16" s="66" t="n"/>
      <c r="BE16" s="66" t="n"/>
      <c r="BF16" s="66" t="n"/>
      <c r="BG16" s="66" t="n"/>
      <c r="BH16" s="66" t="n"/>
      <c r="BI16" s="66" t="n"/>
      <c r="BJ16" s="66" t="n"/>
      <c r="BK16" s="66" t="n"/>
      <c r="BL16" s="66" t="n"/>
      <c r="BM16" s="66" t="n"/>
      <c r="BN16" s="66" t="n"/>
      <c r="BO16" s="66" t="n"/>
      <c r="BP16" s="66" t="n"/>
      <c r="BQ16" s="66" t="n"/>
      <c r="BR16" s="66" t="n"/>
      <c r="BS16" s="66" t="n"/>
      <c r="BT16" s="66" t="n"/>
      <c r="BU16" s="66" t="n"/>
      <c r="BV16" s="66" t="n"/>
      <c r="BW16" s="66" t="n"/>
      <c r="BX16" s="66" t="n"/>
      <c r="BY16" s="66" t="n"/>
      <c r="BZ16" s="66" t="n"/>
      <c r="CA16" s="66" t="n"/>
      <c r="CB16" s="66" t="n"/>
      <c r="CC16" s="66" t="n"/>
      <c r="CD16" s="66" t="n"/>
      <c r="CE16" s="66" t="n"/>
      <c r="CF16" s="66" t="n"/>
      <c r="CG16" s="66" t="n"/>
      <c r="CH16" s="66" t="n"/>
      <c r="CI16" s="66" t="n"/>
      <c r="CJ16" s="66" t="n"/>
      <c r="CK16" s="66" t="n"/>
      <c r="CL16" s="66" t="n"/>
      <c r="CM16" s="66" t="n"/>
    </row>
    <row r="17">
      <c r="A17" s="1" t="n"/>
      <c r="B17" s="59" t="inlineStr">
        <is>
          <t>1.3</t>
        </is>
      </c>
      <c r="C17" s="60" t="inlineStr">
        <is>
          <t>P1 資金計画・資本設計</t>
        </is>
      </c>
      <c r="D17" s="61" t="inlineStr">
        <is>
          <t>役員報酬・人件費設計(適正給料計算)</t>
        </is>
      </c>
      <c r="E17" s="61" t="inlineStr">
        <is>
          <t>給与シナリオ別に手取り・会社総コスト・法定福利費・損益分岐を試算する［担当: business-launch / payroll-design／協働］［依存: 1.1］</t>
        </is>
      </c>
      <c r="F17" s="62" t="n"/>
      <c r="G17" s="60" t="inlineStr">
        <is>
          <t>payroll-simulation.csv</t>
        </is>
      </c>
      <c r="H17" s="63" t="n">
        <v>46349</v>
      </c>
      <c r="I17" s="63" t="n">
        <v>46351</v>
      </c>
      <c r="J17" s="64">
        <f>IF(AND(H17&lt;&gt;"",I17&lt;&gt;""),DAYS(I17,H17)+1,"")</f>
        <v/>
      </c>
      <c r="K17" s="65" t="n">
        <v>0</v>
      </c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  <c r="AO17" s="66" t="n"/>
      <c r="AP17" s="66" t="n"/>
      <c r="AQ17" s="66" t="n"/>
      <c r="AR17" s="66" t="n"/>
      <c r="AS17" s="66" t="n"/>
      <c r="AT17" s="66" t="n"/>
      <c r="AU17" s="66" t="n"/>
      <c r="AV17" s="66" t="n"/>
      <c r="AW17" s="66" t="n"/>
      <c r="AX17" s="66" t="n"/>
      <c r="AY17" s="66" t="n"/>
      <c r="AZ17" s="66" t="n"/>
      <c r="BA17" s="66" t="n"/>
      <c r="BB17" s="66" t="n"/>
      <c r="BC17" s="66" t="n"/>
      <c r="BD17" s="66" t="n"/>
      <c r="BE17" s="66" t="n"/>
      <c r="BF17" s="66" t="n"/>
      <c r="BG17" s="66" t="n"/>
      <c r="BH17" s="66" t="n"/>
      <c r="BI17" s="66" t="n"/>
      <c r="BJ17" s="66" t="n"/>
      <c r="BK17" s="66" t="n"/>
      <c r="BL17" s="66" t="n"/>
      <c r="BM17" s="66" t="n"/>
      <c r="BN17" s="66" t="n"/>
      <c r="BO17" s="66" t="n"/>
      <c r="BP17" s="66" t="n"/>
      <c r="BQ17" s="66" t="n"/>
      <c r="BR17" s="66" t="n"/>
      <c r="BS17" s="66" t="n"/>
      <c r="BT17" s="66" t="n"/>
      <c r="BU17" s="66" t="n"/>
      <c r="BV17" s="66" t="n"/>
      <c r="BW17" s="66" t="n"/>
      <c r="BX17" s="66" t="n"/>
      <c r="BY17" s="66" t="n"/>
      <c r="BZ17" s="66" t="n"/>
      <c r="CA17" s="66" t="n"/>
      <c r="CB17" s="66" t="n"/>
      <c r="CC17" s="66" t="n"/>
      <c r="CD17" s="66" t="n"/>
      <c r="CE17" s="66" t="n"/>
      <c r="CF17" s="66" t="n"/>
      <c r="CG17" s="66" t="n"/>
      <c r="CH17" s="66" t="n"/>
      <c r="CI17" s="66" t="n"/>
      <c r="CJ17" s="66" t="n"/>
      <c r="CK17" s="66" t="n"/>
      <c r="CL17" s="66" t="n"/>
      <c r="CM17" s="66" t="n"/>
    </row>
    <row r="18">
      <c r="A18" s="1" t="n"/>
      <c r="B18" s="59" t="inlineStr">
        <is>
          <t>1.4</t>
        </is>
      </c>
      <c r="C18" s="60" t="inlineStr">
        <is>
          <t>P1 資金計画・資本設計</t>
        </is>
      </c>
      <c r="D18" s="61" t="inlineStr">
        <is>
          <t>資本金・調達構成の提案</t>
        </is>
      </c>
      <c r="E18" s="61" t="inlineStr">
        <is>
          <t>資本金額・借入・補助金の構成案を根拠と感度分析付きで提示する［担当: business-launch / capital-planning／AI］［依存: 1.2, 1.3］</t>
        </is>
      </c>
      <c r="F18" s="62" t="n"/>
      <c r="G18" s="60" t="inlineStr">
        <is>
          <t>capital-plan.md §2-4</t>
        </is>
      </c>
      <c r="H18" s="63" t="n">
        <v>46352</v>
      </c>
      <c r="I18" s="63" t="n">
        <v>46353</v>
      </c>
      <c r="J18" s="64">
        <f>IF(AND(H18&lt;&gt;"",I18&lt;&gt;""),DAYS(I18,H18)+1,"")</f>
        <v/>
      </c>
      <c r="K18" s="65" t="n">
        <v>0</v>
      </c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  <c r="AV18" s="66" t="n"/>
      <c r="AW18" s="66" t="n"/>
      <c r="AX18" s="66" t="n"/>
      <c r="AY18" s="66" t="n"/>
      <c r="AZ18" s="66" t="n"/>
      <c r="BA18" s="66" t="n"/>
      <c r="BB18" s="66" t="n"/>
      <c r="BC18" s="66" t="n"/>
      <c r="BD18" s="66" t="n"/>
      <c r="BE18" s="66" t="n"/>
      <c r="BF18" s="66" t="n"/>
      <c r="BG18" s="66" t="n"/>
      <c r="BH18" s="66" t="n"/>
      <c r="BI18" s="66" t="n"/>
      <c r="BJ18" s="66" t="n"/>
      <c r="BK18" s="66" t="n"/>
      <c r="BL18" s="66" t="n"/>
      <c r="BM18" s="66" t="n"/>
      <c r="BN18" s="66" t="n"/>
      <c r="BO18" s="66" t="n"/>
      <c r="BP18" s="66" t="n"/>
      <c r="BQ18" s="66" t="n"/>
      <c r="BR18" s="66" t="n"/>
      <c r="BS18" s="66" t="n"/>
      <c r="BT18" s="66" t="n"/>
      <c r="BU18" s="66" t="n"/>
      <c r="BV18" s="66" t="n"/>
      <c r="BW18" s="66" t="n"/>
      <c r="BX18" s="66" t="n"/>
      <c r="BY18" s="66" t="n"/>
      <c r="BZ18" s="66" t="n"/>
      <c r="CA18" s="66" t="n"/>
      <c r="CB18" s="66" t="n"/>
      <c r="CC18" s="66" t="n"/>
      <c r="CD18" s="66" t="n"/>
      <c r="CE18" s="66" t="n"/>
      <c r="CF18" s="66" t="n"/>
      <c r="CG18" s="66" t="n"/>
      <c r="CH18" s="66" t="n"/>
      <c r="CI18" s="66" t="n"/>
      <c r="CJ18" s="66" t="n"/>
      <c r="CK18" s="66" t="n"/>
      <c r="CL18" s="66" t="n"/>
      <c r="CM18" s="66" t="n"/>
    </row>
    <row r="19">
      <c r="A19" s="1" t="n"/>
      <c r="B19" s="59" t="inlineStr">
        <is>
          <t>1.5</t>
        </is>
      </c>
      <c r="C19" s="60" t="inlineStr">
        <is>
          <t>P1 資金計画・資本設計</t>
        </is>
      </c>
      <c r="D19" s="61" t="inlineStr">
        <is>
          <t>資本金・調達方針の決定(Gate L2)</t>
        </is>
      </c>
      <c r="E19" s="61" t="inlineStr">
        <is>
          <t>資本金額と調達方針をOwnerが決定する(税理士確認推奨)［担当: 人間(Owner)／人間］［Gate L2］［依存: 1.4］</t>
        </is>
      </c>
      <c r="F19" s="62" t="n"/>
      <c r="G19" s="60" t="inlineStr">
        <is>
          <t>Decision Log</t>
        </is>
      </c>
      <c r="H19" s="63" t="n">
        <v>46356</v>
      </c>
      <c r="I19" s="63" t="n">
        <v>46356</v>
      </c>
      <c r="J19" s="64">
        <f>IF(AND(H19&lt;&gt;"",I19&lt;&gt;""),DAYS(I19,H19)+1,"")</f>
        <v/>
      </c>
      <c r="K19" s="65" t="n">
        <v>0</v>
      </c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  <c r="AO19" s="66" t="n"/>
      <c r="AP19" s="66" t="n"/>
      <c r="AQ19" s="66" t="n"/>
      <c r="AR19" s="66" t="n"/>
      <c r="AS19" s="66" t="n"/>
      <c r="AT19" s="66" t="n"/>
      <c r="AU19" s="66" t="n"/>
      <c r="AV19" s="66" t="n"/>
      <c r="AW19" s="66" t="n"/>
      <c r="AX19" s="66" t="n"/>
      <c r="AY19" s="66" t="n"/>
      <c r="AZ19" s="66" t="n"/>
      <c r="BA19" s="66" t="n"/>
      <c r="BB19" s="66" t="n"/>
      <c r="BC19" s="66" t="n"/>
      <c r="BD19" s="66" t="n"/>
      <c r="BE19" s="66" t="n"/>
      <c r="BF19" s="66" t="n"/>
      <c r="BG19" s="66" t="n"/>
      <c r="BH19" s="66" t="n"/>
      <c r="BI19" s="66" t="n"/>
      <c r="BJ19" s="66" t="n"/>
      <c r="BK19" s="66" t="n"/>
      <c r="BL19" s="66" t="n"/>
      <c r="BM19" s="66" t="n"/>
      <c r="BN19" s="66" t="n"/>
      <c r="BO19" s="66" t="n"/>
      <c r="BP19" s="66" t="n"/>
      <c r="BQ19" s="66" t="n"/>
      <c r="BR19" s="66" t="n"/>
      <c r="BS19" s="66" t="n"/>
      <c r="BT19" s="66" t="n"/>
      <c r="BU19" s="66" t="n"/>
      <c r="BV19" s="66" t="n"/>
      <c r="BW19" s="66" t="n"/>
      <c r="BX19" s="66" t="n"/>
      <c r="BY19" s="66" t="n"/>
      <c r="BZ19" s="66" t="n"/>
      <c r="CA19" s="66" t="n"/>
      <c r="CB19" s="66" t="n"/>
      <c r="CC19" s="66" t="n"/>
      <c r="CD19" s="66" t="n"/>
      <c r="CE19" s="66" t="n"/>
      <c r="CF19" s="66" t="n"/>
      <c r="CG19" s="66" t="n"/>
      <c r="CH19" s="66" t="n"/>
      <c r="CI19" s="66" t="n"/>
      <c r="CJ19" s="66" t="n"/>
      <c r="CK19" s="66" t="n"/>
      <c r="CL19" s="66" t="n"/>
      <c r="CM19" s="66" t="n"/>
    </row>
    <row r="20">
      <c r="A20" s="1" t="n"/>
      <c r="B20" s="53" t="inlineStr">
        <is>
          <t>2</t>
        </is>
      </c>
      <c r="C20" s="54" t="inlineStr">
        <is>
          <t>P2 設立準備(法務)</t>
        </is>
      </c>
      <c r="D20" s="54" t="n"/>
      <c r="E20" s="54" t="inlineStr">
        <is>
          <t>法人形態・基本事項・定款案・許認可要否を確定しGate L3(設立内容の最終確認)を通す</t>
        </is>
      </c>
      <c r="F20" s="54" t="n"/>
      <c r="G20" s="54" t="n"/>
      <c r="H20" s="55" t="n"/>
      <c r="I20" s="55" t="n"/>
      <c r="J20" s="56" t="n"/>
      <c r="K20" s="57" t="n"/>
      <c r="L20" s="58" t="n"/>
      <c r="M20" s="58" t="n"/>
      <c r="N20" s="58" t="n"/>
      <c r="O20" s="58" t="n"/>
      <c r="P20" s="58" t="n"/>
      <c r="Q20" s="58" t="n"/>
      <c r="R20" s="58" t="n"/>
      <c r="S20" s="58" t="n"/>
      <c r="T20" s="58" t="n"/>
      <c r="U20" s="58" t="n"/>
      <c r="V20" s="58" t="n"/>
      <c r="W20" s="58" t="n"/>
      <c r="X20" s="58" t="n"/>
      <c r="Y20" s="58" t="n"/>
      <c r="Z20" s="58" t="n"/>
      <c r="AA20" s="58" t="n"/>
      <c r="AB20" s="58" t="n"/>
      <c r="AC20" s="58" t="n"/>
      <c r="AD20" s="58" t="n"/>
      <c r="AE20" s="58" t="n"/>
      <c r="AF20" s="58" t="n"/>
      <c r="AG20" s="58" t="n"/>
      <c r="AH20" s="58" t="n"/>
      <c r="AI20" s="58" t="n"/>
      <c r="AJ20" s="58" t="n"/>
      <c r="AK20" s="58" t="n"/>
      <c r="AL20" s="58" t="n"/>
      <c r="AM20" s="58" t="n"/>
      <c r="AN20" s="58" t="n"/>
      <c r="AO20" s="58" t="n"/>
      <c r="AP20" s="58" t="n"/>
      <c r="AQ20" s="58" t="n"/>
      <c r="AR20" s="58" t="n"/>
      <c r="AS20" s="58" t="n"/>
      <c r="AT20" s="58" t="n"/>
      <c r="AU20" s="58" t="n"/>
      <c r="AV20" s="58" t="n"/>
      <c r="AW20" s="58" t="n"/>
      <c r="AX20" s="58" t="n"/>
      <c r="AY20" s="58" t="n"/>
      <c r="AZ20" s="58" t="n"/>
      <c r="BA20" s="58" t="n"/>
      <c r="BB20" s="58" t="n"/>
      <c r="BC20" s="58" t="n"/>
      <c r="BD20" s="58" t="n"/>
      <c r="BE20" s="58" t="n"/>
      <c r="BF20" s="58" t="n"/>
      <c r="BG20" s="58" t="n"/>
      <c r="BH20" s="58" t="n"/>
      <c r="BI20" s="58" t="n"/>
      <c r="BJ20" s="58" t="n"/>
      <c r="BK20" s="58" t="n"/>
      <c r="BL20" s="58" t="n"/>
      <c r="BM20" s="58" t="n"/>
      <c r="BN20" s="58" t="n"/>
      <c r="BO20" s="58" t="n"/>
      <c r="BP20" s="58" t="n"/>
      <c r="BQ20" s="58" t="n"/>
      <c r="BR20" s="58" t="n"/>
      <c r="BS20" s="58" t="n"/>
      <c r="BT20" s="58" t="n"/>
      <c r="BU20" s="58" t="n"/>
      <c r="BV20" s="58" t="n"/>
      <c r="BW20" s="58" t="n"/>
      <c r="BX20" s="58" t="n"/>
      <c r="BY20" s="58" t="n"/>
      <c r="BZ20" s="58" t="n"/>
      <c r="CA20" s="58" t="n"/>
      <c r="CB20" s="58" t="n"/>
      <c r="CC20" s="58" t="n"/>
      <c r="CD20" s="58" t="n"/>
      <c r="CE20" s="58" t="n"/>
      <c r="CF20" s="58" t="n"/>
      <c r="CG20" s="58" t="n"/>
      <c r="CH20" s="58" t="n"/>
      <c r="CI20" s="58" t="n"/>
      <c r="CJ20" s="58" t="n"/>
      <c r="CK20" s="58" t="n"/>
      <c r="CL20" s="58" t="n"/>
      <c r="CM20" s="58" t="n"/>
    </row>
    <row r="21">
      <c r="A21" s="1" t="n"/>
      <c r="B21" s="59" t="inlineStr">
        <is>
          <t>2.1</t>
        </is>
      </c>
      <c r="C21" s="60" t="inlineStr">
        <is>
          <t>P2 設立準備(法務)</t>
        </is>
      </c>
      <c r="D21" s="61" t="inlineStr">
        <is>
          <t>法人形態の比較・選定</t>
        </is>
      </c>
      <c r="E21" s="61" t="inlineStr">
        <is>
          <t>株式会社/合同会社等を費用・信用・手続・将来の資金調達で比較する［担当: business-launch / incorporation-legal／協働］［依存: 0.5］</t>
        </is>
      </c>
      <c r="F21" s="62" t="n"/>
      <c r="G21" s="60" t="inlineStr">
        <is>
          <t>legal-setup-plan.md §1</t>
        </is>
      </c>
      <c r="H21" s="63" t="n">
        <v>46344</v>
      </c>
      <c r="I21" s="63" t="n">
        <v>46345</v>
      </c>
      <c r="J21" s="64">
        <f>IF(AND(H21&lt;&gt;"",I21&lt;&gt;""),DAYS(I21,H21)+1,"")</f>
        <v/>
      </c>
      <c r="K21" s="65" t="n">
        <v>0</v>
      </c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  <c r="AO21" s="66" t="n"/>
      <c r="AP21" s="66" t="n"/>
      <c r="AQ21" s="66" t="n"/>
      <c r="AR21" s="66" t="n"/>
      <c r="AS21" s="66" t="n"/>
      <c r="AT21" s="66" t="n"/>
      <c r="AU21" s="66" t="n"/>
      <c r="AV21" s="66" t="n"/>
      <c r="AW21" s="66" t="n"/>
      <c r="AX21" s="66" t="n"/>
      <c r="AY21" s="66" t="n"/>
      <c r="AZ21" s="66" t="n"/>
      <c r="BA21" s="66" t="n"/>
      <c r="BB21" s="66" t="n"/>
      <c r="BC21" s="66" t="n"/>
      <c r="BD21" s="66" t="n"/>
      <c r="BE21" s="66" t="n"/>
      <c r="BF21" s="66" t="n"/>
      <c r="BG21" s="66" t="n"/>
      <c r="BH21" s="66" t="n"/>
      <c r="BI21" s="66" t="n"/>
      <c r="BJ21" s="66" t="n"/>
      <c r="BK21" s="66" t="n"/>
      <c r="BL21" s="66" t="n"/>
      <c r="BM21" s="66" t="n"/>
      <c r="BN21" s="66" t="n"/>
      <c r="BO21" s="66" t="n"/>
      <c r="BP21" s="66" t="n"/>
      <c r="BQ21" s="66" t="n"/>
      <c r="BR21" s="66" t="n"/>
      <c r="BS21" s="66" t="n"/>
      <c r="BT21" s="66" t="n"/>
      <c r="BU21" s="66" t="n"/>
      <c r="BV21" s="66" t="n"/>
      <c r="BW21" s="66" t="n"/>
      <c r="BX21" s="66" t="n"/>
      <c r="BY21" s="66" t="n"/>
      <c r="BZ21" s="66" t="n"/>
      <c r="CA21" s="66" t="n"/>
      <c r="CB21" s="66" t="n"/>
      <c r="CC21" s="66" t="n"/>
      <c r="CD21" s="66" t="n"/>
      <c r="CE21" s="66" t="n"/>
      <c r="CF21" s="66" t="n"/>
      <c r="CG21" s="66" t="n"/>
      <c r="CH21" s="66" t="n"/>
      <c r="CI21" s="66" t="n"/>
      <c r="CJ21" s="66" t="n"/>
      <c r="CK21" s="66" t="n"/>
      <c r="CL21" s="66" t="n"/>
      <c r="CM21" s="66" t="n"/>
    </row>
    <row r="22">
      <c r="A22" s="1" t="n"/>
      <c r="B22" s="59" t="inlineStr">
        <is>
          <t>2.2</t>
        </is>
      </c>
      <c r="C22" s="60" t="inlineStr">
        <is>
          <t>P2 設立準備(法務)</t>
        </is>
      </c>
      <c r="D22" s="61" t="inlineStr">
        <is>
          <t>基本事項の確定</t>
        </is>
      </c>
      <c r="E22" s="61" t="inlineStr">
        <is>
          <t>商号・本店所在地・事業目的・役員・事業年度・機関設計・公告方法を確定する［担当: business-launch / incorporation-legal／協働］［依存: 2.1, 1.5］</t>
        </is>
      </c>
      <c r="F22" s="62" t="n"/>
      <c r="G22" s="60" t="inlineStr">
        <is>
          <t>legal-setup-plan.md §2</t>
        </is>
      </c>
      <c r="H22" s="63" t="n">
        <v>46357</v>
      </c>
      <c r="I22" s="63" t="n">
        <v>46359</v>
      </c>
      <c r="J22" s="64">
        <f>IF(AND(H22&lt;&gt;"",I22&lt;&gt;""),DAYS(I22,H22)+1,"")</f>
        <v/>
      </c>
      <c r="K22" s="65" t="n">
        <v>0</v>
      </c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  <c r="AV22" s="66" t="n"/>
      <c r="AW22" s="66" t="n"/>
      <c r="AX22" s="66" t="n"/>
      <c r="AY22" s="66" t="n"/>
      <c r="AZ22" s="66" t="n"/>
      <c r="BA22" s="66" t="n"/>
      <c r="BB22" s="66" t="n"/>
      <c r="BC22" s="66" t="n"/>
      <c r="BD22" s="66" t="n"/>
      <c r="BE22" s="66" t="n"/>
      <c r="BF22" s="66" t="n"/>
      <c r="BG22" s="66" t="n"/>
      <c r="BH22" s="66" t="n"/>
      <c r="BI22" s="66" t="n"/>
      <c r="BJ22" s="66" t="n"/>
      <c r="BK22" s="66" t="n"/>
      <c r="BL22" s="66" t="n"/>
      <c r="BM22" s="66" t="n"/>
      <c r="BN22" s="66" t="n"/>
      <c r="BO22" s="66" t="n"/>
      <c r="BP22" s="66" t="n"/>
      <c r="BQ22" s="66" t="n"/>
      <c r="BR22" s="66" t="n"/>
      <c r="BS22" s="66" t="n"/>
      <c r="BT22" s="66" t="n"/>
      <c r="BU22" s="66" t="n"/>
      <c r="BV22" s="66" t="n"/>
      <c r="BW22" s="66" t="n"/>
      <c r="BX22" s="66" t="n"/>
      <c r="BY22" s="66" t="n"/>
      <c r="BZ22" s="66" t="n"/>
      <c r="CA22" s="66" t="n"/>
      <c r="CB22" s="66" t="n"/>
      <c r="CC22" s="66" t="n"/>
      <c r="CD22" s="66" t="n"/>
      <c r="CE22" s="66" t="n"/>
      <c r="CF22" s="66" t="n"/>
      <c r="CG22" s="66" t="n"/>
      <c r="CH22" s="66" t="n"/>
      <c r="CI22" s="66" t="n"/>
      <c r="CJ22" s="66" t="n"/>
      <c r="CK22" s="66" t="n"/>
      <c r="CL22" s="66" t="n"/>
      <c r="CM22" s="66" t="n"/>
    </row>
    <row r="23">
      <c r="A23" s="1" t="n"/>
      <c r="B23" s="59" t="inlineStr">
        <is>
          <t>2.3</t>
        </is>
      </c>
      <c r="C23" s="60" t="inlineStr">
        <is>
          <t>P2 設立準備(法務)</t>
        </is>
      </c>
      <c r="D23" s="61" t="inlineStr">
        <is>
          <t>類似商号・商標の事前調査</t>
        </is>
      </c>
      <c r="E23" s="61" t="inlineStr">
        <is>
          <t>同一住所の同一商号や商標の衝突を事前に確認する［担当: incorporation-legal／協働］［依存: 2.2］</t>
        </is>
      </c>
      <c r="F23" s="62" t="n"/>
      <c r="G23" s="60" t="inlineStr">
        <is>
          <t>調査記録</t>
        </is>
      </c>
      <c r="H23" s="63" t="n">
        <v>46360</v>
      </c>
      <c r="I23" s="63" t="n">
        <v>46363</v>
      </c>
      <c r="J23" s="64">
        <f>IF(AND(H23&lt;&gt;"",I23&lt;&gt;""),DAYS(I23,H23)+1,"")</f>
        <v/>
      </c>
      <c r="K23" s="65" t="n">
        <v>0</v>
      </c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  <c r="AO23" s="66" t="n"/>
      <c r="AP23" s="66" t="n"/>
      <c r="AQ23" s="66" t="n"/>
      <c r="AR23" s="66" t="n"/>
      <c r="AS23" s="66" t="n"/>
      <c r="AT23" s="66" t="n"/>
      <c r="AU23" s="66" t="n"/>
      <c r="AV23" s="66" t="n"/>
      <c r="AW23" s="66" t="n"/>
      <c r="AX23" s="66" t="n"/>
      <c r="AY23" s="66" t="n"/>
      <c r="AZ23" s="66" t="n"/>
      <c r="BA23" s="66" t="n"/>
      <c r="BB23" s="66" t="n"/>
      <c r="BC23" s="66" t="n"/>
      <c r="BD23" s="66" t="n"/>
      <c r="BE23" s="66" t="n"/>
      <c r="BF23" s="66" t="n"/>
      <c r="BG23" s="66" t="n"/>
      <c r="BH23" s="66" t="n"/>
      <c r="BI23" s="66" t="n"/>
      <c r="BJ23" s="66" t="n"/>
      <c r="BK23" s="66" t="n"/>
      <c r="BL23" s="66" t="n"/>
      <c r="BM23" s="66" t="n"/>
      <c r="BN23" s="66" t="n"/>
      <c r="BO23" s="66" t="n"/>
      <c r="BP23" s="66" t="n"/>
      <c r="BQ23" s="66" t="n"/>
      <c r="BR23" s="66" t="n"/>
      <c r="BS23" s="66" t="n"/>
      <c r="BT23" s="66" t="n"/>
      <c r="BU23" s="66" t="n"/>
      <c r="BV23" s="66" t="n"/>
      <c r="BW23" s="66" t="n"/>
      <c r="BX23" s="66" t="n"/>
      <c r="BY23" s="66" t="n"/>
      <c r="BZ23" s="66" t="n"/>
      <c r="CA23" s="66" t="n"/>
      <c r="CB23" s="66" t="n"/>
      <c r="CC23" s="66" t="n"/>
      <c r="CD23" s="66" t="n"/>
      <c r="CE23" s="66" t="n"/>
      <c r="CF23" s="66" t="n"/>
      <c r="CG23" s="66" t="n"/>
      <c r="CH23" s="66" t="n"/>
      <c r="CI23" s="66" t="n"/>
      <c r="CJ23" s="66" t="n"/>
      <c r="CK23" s="66" t="n"/>
      <c r="CL23" s="66" t="n"/>
      <c r="CM23" s="66" t="n"/>
    </row>
    <row r="24">
      <c r="A24" s="1" t="n"/>
      <c r="B24" s="59" t="inlineStr">
        <is>
          <t>2.4</t>
        </is>
      </c>
      <c r="C24" s="60" t="inlineStr">
        <is>
          <t>P2 設立準備(法務)</t>
        </is>
      </c>
      <c r="D24" s="61" t="inlineStr">
        <is>
          <t>許認可の要否調査</t>
        </is>
      </c>
      <c r="E24" s="61" t="inlineStr">
        <is>
          <t>事業に必要な許認可・届出・資本金等の要件を所管官庁の一次情報で確認する［担当: incorporation-legal／士業］［依存: 0.5］</t>
        </is>
      </c>
      <c r="F24" s="62" t="n"/>
      <c r="G24" s="60" t="inlineStr">
        <is>
          <t>legal-setup-plan.md §4</t>
        </is>
      </c>
      <c r="H24" s="63" t="n">
        <v>46344</v>
      </c>
      <c r="I24" s="63" t="n">
        <v>46346</v>
      </c>
      <c r="J24" s="64">
        <f>IF(AND(H24&lt;&gt;"",I24&lt;&gt;""),DAYS(I24,H24)+1,"")</f>
        <v/>
      </c>
      <c r="K24" s="65" t="n">
        <v>0</v>
      </c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  <c r="AV24" s="66" t="n"/>
      <c r="AW24" s="66" t="n"/>
      <c r="AX24" s="66" t="n"/>
      <c r="AY24" s="66" t="n"/>
      <c r="AZ24" s="66" t="n"/>
      <c r="BA24" s="66" t="n"/>
      <c r="BB24" s="66" t="n"/>
      <c r="BC24" s="66" t="n"/>
      <c r="BD24" s="66" t="n"/>
      <c r="BE24" s="66" t="n"/>
      <c r="BF24" s="66" t="n"/>
      <c r="BG24" s="66" t="n"/>
      <c r="BH24" s="66" t="n"/>
      <c r="BI24" s="66" t="n"/>
      <c r="BJ24" s="66" t="n"/>
      <c r="BK24" s="66" t="n"/>
      <c r="BL24" s="66" t="n"/>
      <c r="BM24" s="66" t="n"/>
      <c r="BN24" s="66" t="n"/>
      <c r="BO24" s="66" t="n"/>
      <c r="BP24" s="66" t="n"/>
      <c r="BQ24" s="66" t="n"/>
      <c r="BR24" s="66" t="n"/>
      <c r="BS24" s="66" t="n"/>
      <c r="BT24" s="66" t="n"/>
      <c r="BU24" s="66" t="n"/>
      <c r="BV24" s="66" t="n"/>
      <c r="BW24" s="66" t="n"/>
      <c r="BX24" s="66" t="n"/>
      <c r="BY24" s="66" t="n"/>
      <c r="BZ24" s="66" t="n"/>
      <c r="CA24" s="66" t="n"/>
      <c r="CB24" s="66" t="n"/>
      <c r="CC24" s="66" t="n"/>
      <c r="CD24" s="66" t="n"/>
      <c r="CE24" s="66" t="n"/>
      <c r="CF24" s="66" t="n"/>
      <c r="CG24" s="66" t="n"/>
      <c r="CH24" s="66" t="n"/>
      <c r="CI24" s="66" t="n"/>
      <c r="CJ24" s="66" t="n"/>
      <c r="CK24" s="66" t="n"/>
      <c r="CL24" s="66" t="n"/>
      <c r="CM24" s="66" t="n"/>
    </row>
    <row r="25">
      <c r="A25" s="1" t="n"/>
      <c r="B25" s="59" t="inlineStr">
        <is>
          <t>2.5</t>
        </is>
      </c>
      <c r="C25" s="60" t="inlineStr">
        <is>
          <t>P2 設立準備(法務)</t>
        </is>
      </c>
      <c r="D25" s="61" t="inlineStr">
        <is>
          <t>定款案の作成</t>
        </is>
      </c>
      <c r="E25" s="61" t="inlineStr">
        <is>
          <t>絶対的記載事項・相対的記載事項を含む定款案を作成する［担当: incorporation-legal／士業］［依存: 2.2, 2.3, 2.4］</t>
        </is>
      </c>
      <c r="F25" s="62" t="n"/>
      <c r="G25" s="60" t="inlineStr">
        <is>
          <t>定款案</t>
        </is>
      </c>
      <c r="H25" s="63" t="n">
        <v>46364</v>
      </c>
      <c r="I25" s="63" t="n">
        <v>46366</v>
      </c>
      <c r="J25" s="64">
        <f>IF(AND(H25&lt;&gt;"",I25&lt;&gt;""),DAYS(I25,H25)+1,"")</f>
        <v/>
      </c>
      <c r="K25" s="65" t="n">
        <v>0</v>
      </c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  <c r="AO25" s="66" t="n"/>
      <c r="AP25" s="66" t="n"/>
      <c r="AQ25" s="66" t="n"/>
      <c r="AR25" s="66" t="n"/>
      <c r="AS25" s="66" t="n"/>
      <c r="AT25" s="66" t="n"/>
      <c r="AU25" s="66" t="n"/>
      <c r="AV25" s="66" t="n"/>
      <c r="AW25" s="66" t="n"/>
      <c r="AX25" s="66" t="n"/>
      <c r="AY25" s="66" t="n"/>
      <c r="AZ25" s="66" t="n"/>
      <c r="BA25" s="66" t="n"/>
      <c r="BB25" s="66" t="n"/>
      <c r="BC25" s="66" t="n"/>
      <c r="BD25" s="66" t="n"/>
      <c r="BE25" s="66" t="n"/>
      <c r="BF25" s="66" t="n"/>
      <c r="BG25" s="66" t="n"/>
      <c r="BH25" s="66" t="n"/>
      <c r="BI25" s="66" t="n"/>
      <c r="BJ25" s="66" t="n"/>
      <c r="BK25" s="66" t="n"/>
      <c r="BL25" s="66" t="n"/>
      <c r="BM25" s="66" t="n"/>
      <c r="BN25" s="66" t="n"/>
      <c r="BO25" s="66" t="n"/>
      <c r="BP25" s="66" t="n"/>
      <c r="BQ25" s="66" t="n"/>
      <c r="BR25" s="66" t="n"/>
      <c r="BS25" s="66" t="n"/>
      <c r="BT25" s="66" t="n"/>
      <c r="BU25" s="66" t="n"/>
      <c r="BV25" s="66" t="n"/>
      <c r="BW25" s="66" t="n"/>
      <c r="BX25" s="66" t="n"/>
      <c r="BY25" s="66" t="n"/>
      <c r="BZ25" s="66" t="n"/>
      <c r="CA25" s="66" t="n"/>
      <c r="CB25" s="66" t="n"/>
      <c r="CC25" s="66" t="n"/>
      <c r="CD25" s="66" t="n"/>
      <c r="CE25" s="66" t="n"/>
      <c r="CF25" s="66" t="n"/>
      <c r="CG25" s="66" t="n"/>
      <c r="CH25" s="66" t="n"/>
      <c r="CI25" s="66" t="n"/>
      <c r="CJ25" s="66" t="n"/>
      <c r="CK25" s="66" t="n"/>
      <c r="CL25" s="66" t="n"/>
      <c r="CM25" s="66" t="n"/>
    </row>
    <row r="26">
      <c r="A26" s="1" t="n"/>
      <c r="B26" s="59" t="inlineStr">
        <is>
          <t>2.6</t>
        </is>
      </c>
      <c r="C26" s="60" t="inlineStr">
        <is>
          <t>P2 設立準備(法務)</t>
        </is>
      </c>
      <c r="D26" s="61" t="inlineStr">
        <is>
          <t>法人実印・個人印鑑証明書の準備</t>
        </is>
      </c>
      <c r="E26" s="61" t="inlineStr">
        <is>
          <t>会社実印の作成と、発起人・役員の印鑑証明書の取得［担当: 人間／人間］［依存: 2.3］</t>
        </is>
      </c>
      <c r="F26" s="62" t="n"/>
      <c r="G26" s="60" t="inlineStr">
        <is>
          <t>実印・印鑑証明書</t>
        </is>
      </c>
      <c r="H26" s="63" t="n">
        <v>46364</v>
      </c>
      <c r="I26" s="63" t="n">
        <v>46366</v>
      </c>
      <c r="J26" s="64">
        <f>IF(AND(H26&lt;&gt;"",I26&lt;&gt;""),DAYS(I26,H26)+1,"")</f>
        <v/>
      </c>
      <c r="K26" s="65" t="n">
        <v>0</v>
      </c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  <c r="AV26" s="66" t="n"/>
      <c r="AW26" s="66" t="n"/>
      <c r="AX26" s="66" t="n"/>
      <c r="AY26" s="66" t="n"/>
      <c r="AZ26" s="66" t="n"/>
      <c r="BA26" s="66" t="n"/>
      <c r="BB26" s="66" t="n"/>
      <c r="BC26" s="66" t="n"/>
      <c r="BD26" s="66" t="n"/>
      <c r="BE26" s="66" t="n"/>
      <c r="BF26" s="66" t="n"/>
      <c r="BG26" s="66" t="n"/>
      <c r="BH26" s="66" t="n"/>
      <c r="BI26" s="66" t="n"/>
      <c r="BJ26" s="66" t="n"/>
      <c r="BK26" s="66" t="n"/>
      <c r="BL26" s="66" t="n"/>
      <c r="BM26" s="66" t="n"/>
      <c r="BN26" s="66" t="n"/>
      <c r="BO26" s="66" t="n"/>
      <c r="BP26" s="66" t="n"/>
      <c r="BQ26" s="66" t="n"/>
      <c r="BR26" s="66" t="n"/>
      <c r="BS26" s="66" t="n"/>
      <c r="BT26" s="66" t="n"/>
      <c r="BU26" s="66" t="n"/>
      <c r="BV26" s="66" t="n"/>
      <c r="BW26" s="66" t="n"/>
      <c r="BX26" s="66" t="n"/>
      <c r="BY26" s="66" t="n"/>
      <c r="BZ26" s="66" t="n"/>
      <c r="CA26" s="66" t="n"/>
      <c r="CB26" s="66" t="n"/>
      <c r="CC26" s="66" t="n"/>
      <c r="CD26" s="66" t="n"/>
      <c r="CE26" s="66" t="n"/>
      <c r="CF26" s="66" t="n"/>
      <c r="CG26" s="66" t="n"/>
      <c r="CH26" s="66" t="n"/>
      <c r="CI26" s="66" t="n"/>
      <c r="CJ26" s="66" t="n"/>
      <c r="CK26" s="66" t="n"/>
      <c r="CL26" s="66" t="n"/>
      <c r="CM26" s="66" t="n"/>
    </row>
    <row r="27">
      <c r="A27" s="1" t="n"/>
      <c r="B27" s="59" t="inlineStr">
        <is>
          <t>2.7</t>
        </is>
      </c>
      <c r="C27" s="60" t="inlineStr">
        <is>
          <t>P2 設立準備(法務)</t>
        </is>
      </c>
      <c r="D27" s="61" t="inlineStr">
        <is>
          <t>士業(司法書士・税理士・社労士)の選定・依頼</t>
        </is>
      </c>
      <c r="E27" s="61" t="inlineStr">
        <is>
          <t>報酬・対応範囲・オンライン可否で比較し依頼先を決める［担当: 人間(Owner)／人間］［依存: 0.5］</t>
        </is>
      </c>
      <c r="F27" s="62" t="n"/>
      <c r="G27" s="60" t="inlineStr">
        <is>
          <t>士業選定メモ</t>
        </is>
      </c>
      <c r="H27" s="63" t="n">
        <v>46344</v>
      </c>
      <c r="I27" s="63" t="n">
        <v>46350</v>
      </c>
      <c r="J27" s="64">
        <f>IF(AND(H27&lt;&gt;"",I27&lt;&gt;""),DAYS(I27,H27)+1,"")</f>
        <v/>
      </c>
      <c r="K27" s="65" t="n">
        <v>0</v>
      </c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  <c r="AO27" s="66" t="n"/>
      <c r="AP27" s="66" t="n"/>
      <c r="AQ27" s="66" t="n"/>
      <c r="AR27" s="66" t="n"/>
      <c r="AS27" s="66" t="n"/>
      <c r="AT27" s="66" t="n"/>
      <c r="AU27" s="66" t="n"/>
      <c r="AV27" s="66" t="n"/>
      <c r="AW27" s="66" t="n"/>
      <c r="AX27" s="66" t="n"/>
      <c r="AY27" s="66" t="n"/>
      <c r="AZ27" s="66" t="n"/>
      <c r="BA27" s="66" t="n"/>
      <c r="BB27" s="66" t="n"/>
      <c r="BC27" s="66" t="n"/>
      <c r="BD27" s="66" t="n"/>
      <c r="BE27" s="66" t="n"/>
      <c r="BF27" s="66" t="n"/>
      <c r="BG27" s="66" t="n"/>
      <c r="BH27" s="66" t="n"/>
      <c r="BI27" s="66" t="n"/>
      <c r="BJ27" s="66" t="n"/>
      <c r="BK27" s="66" t="n"/>
      <c r="BL27" s="66" t="n"/>
      <c r="BM27" s="66" t="n"/>
      <c r="BN27" s="66" t="n"/>
      <c r="BO27" s="66" t="n"/>
      <c r="BP27" s="66" t="n"/>
      <c r="BQ27" s="66" t="n"/>
      <c r="BR27" s="66" t="n"/>
      <c r="BS27" s="66" t="n"/>
      <c r="BT27" s="66" t="n"/>
      <c r="BU27" s="66" t="n"/>
      <c r="BV27" s="66" t="n"/>
      <c r="BW27" s="66" t="n"/>
      <c r="BX27" s="66" t="n"/>
      <c r="BY27" s="66" t="n"/>
      <c r="BZ27" s="66" t="n"/>
      <c r="CA27" s="66" t="n"/>
      <c r="CB27" s="66" t="n"/>
      <c r="CC27" s="66" t="n"/>
      <c r="CD27" s="66" t="n"/>
      <c r="CE27" s="66" t="n"/>
      <c r="CF27" s="66" t="n"/>
      <c r="CG27" s="66" t="n"/>
      <c r="CH27" s="66" t="n"/>
      <c r="CI27" s="66" t="n"/>
      <c r="CJ27" s="66" t="n"/>
      <c r="CK27" s="66" t="n"/>
      <c r="CL27" s="66" t="n"/>
      <c r="CM27" s="66" t="n"/>
    </row>
    <row r="28">
      <c r="A28" s="1" t="n"/>
      <c r="B28" s="59" t="inlineStr">
        <is>
          <t>2.8</t>
        </is>
      </c>
      <c r="C28" s="60" t="inlineStr">
        <is>
          <t>P2 設立準備(法務)</t>
        </is>
      </c>
      <c r="D28" s="61" t="inlineStr">
        <is>
          <t>設立内容の最終確認(Gate L3)</t>
        </is>
      </c>
      <c r="E28" s="61" t="inlineStr">
        <is>
          <t>定款・資本金・役員・事業目的を士業レビュー済みでOwnerが確定する［担当: 人間(Owner) + 士業／士業］［Gate L3］［依存: 2.5, 2.6, 2.7］</t>
        </is>
      </c>
      <c r="F28" s="62" t="n"/>
      <c r="G28" s="60" t="inlineStr">
        <is>
          <t>確定版 設立内容</t>
        </is>
      </c>
      <c r="H28" s="63" t="n">
        <v>46367</v>
      </c>
      <c r="I28" s="63" t="n">
        <v>46367</v>
      </c>
      <c r="J28" s="64">
        <f>IF(AND(H28&lt;&gt;"",I28&lt;&gt;""),DAYS(I28,H28)+1,"")</f>
        <v/>
      </c>
      <c r="K28" s="65" t="n">
        <v>0</v>
      </c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  <c r="AO28" s="66" t="n"/>
      <c r="AP28" s="66" t="n"/>
      <c r="AQ28" s="66" t="n"/>
      <c r="AR28" s="66" t="n"/>
      <c r="AS28" s="66" t="n"/>
      <c r="AT28" s="66" t="n"/>
      <c r="AU28" s="66" t="n"/>
      <c r="AV28" s="66" t="n"/>
      <c r="AW28" s="66" t="n"/>
      <c r="AX28" s="66" t="n"/>
      <c r="AY28" s="66" t="n"/>
      <c r="AZ28" s="66" t="n"/>
      <c r="BA28" s="66" t="n"/>
      <c r="BB28" s="66" t="n"/>
      <c r="BC28" s="66" t="n"/>
      <c r="BD28" s="66" t="n"/>
      <c r="BE28" s="66" t="n"/>
      <c r="BF28" s="66" t="n"/>
      <c r="BG28" s="66" t="n"/>
      <c r="BH28" s="66" t="n"/>
      <c r="BI28" s="66" t="n"/>
      <c r="BJ28" s="66" t="n"/>
      <c r="BK28" s="66" t="n"/>
      <c r="BL28" s="66" t="n"/>
      <c r="BM28" s="66" t="n"/>
      <c r="BN28" s="66" t="n"/>
      <c r="BO28" s="66" t="n"/>
      <c r="BP28" s="66" t="n"/>
      <c r="BQ28" s="66" t="n"/>
      <c r="BR28" s="66" t="n"/>
      <c r="BS28" s="66" t="n"/>
      <c r="BT28" s="66" t="n"/>
      <c r="BU28" s="66" t="n"/>
      <c r="BV28" s="66" t="n"/>
      <c r="BW28" s="66" t="n"/>
      <c r="BX28" s="66" t="n"/>
      <c r="BY28" s="66" t="n"/>
      <c r="BZ28" s="66" t="n"/>
      <c r="CA28" s="66" t="n"/>
      <c r="CB28" s="66" t="n"/>
      <c r="CC28" s="66" t="n"/>
      <c r="CD28" s="66" t="n"/>
      <c r="CE28" s="66" t="n"/>
      <c r="CF28" s="66" t="n"/>
      <c r="CG28" s="66" t="n"/>
      <c r="CH28" s="66" t="n"/>
      <c r="CI28" s="66" t="n"/>
      <c r="CJ28" s="66" t="n"/>
      <c r="CK28" s="66" t="n"/>
      <c r="CL28" s="66" t="n"/>
      <c r="CM28" s="66" t="n"/>
    </row>
    <row r="29">
      <c r="A29" s="1" t="n"/>
      <c r="B29" s="53" t="inlineStr">
        <is>
          <t>3</t>
        </is>
      </c>
      <c r="C29" s="54" t="inlineStr">
        <is>
          <t>P3 設立手続</t>
        </is>
      </c>
      <c r="D29" s="54" t="n"/>
      <c r="E29" s="54" t="inlineStr">
        <is>
          <t>定款認証(株式会社)・出資払込・登記申請・登記完了までを完遂する</t>
        </is>
      </c>
      <c r="F29" s="54" t="n"/>
      <c r="G29" s="54" t="n"/>
      <c r="H29" s="55" t="n"/>
      <c r="I29" s="55" t="n"/>
      <c r="J29" s="56" t="n"/>
      <c r="K29" s="57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  <c r="W29" s="58" t="n"/>
      <c r="X29" s="58" t="n"/>
      <c r="Y29" s="58" t="n"/>
      <c r="Z29" s="58" t="n"/>
      <c r="AA29" s="58" t="n"/>
      <c r="AB29" s="58" t="n"/>
      <c r="AC29" s="58" t="n"/>
      <c r="AD29" s="58" t="n"/>
      <c r="AE29" s="58" t="n"/>
      <c r="AF29" s="58" t="n"/>
      <c r="AG29" s="58" t="n"/>
      <c r="AH29" s="58" t="n"/>
      <c r="AI29" s="58" t="n"/>
      <c r="AJ29" s="58" t="n"/>
      <c r="AK29" s="58" t="n"/>
      <c r="AL29" s="58" t="n"/>
      <c r="AM29" s="58" t="n"/>
      <c r="AN29" s="58" t="n"/>
      <c r="AO29" s="58" t="n"/>
      <c r="AP29" s="58" t="n"/>
      <c r="AQ29" s="58" t="n"/>
      <c r="AR29" s="58" t="n"/>
      <c r="AS29" s="58" t="n"/>
      <c r="AT29" s="58" t="n"/>
      <c r="AU29" s="58" t="n"/>
      <c r="AV29" s="58" t="n"/>
      <c r="AW29" s="58" t="n"/>
      <c r="AX29" s="58" t="n"/>
      <c r="AY29" s="58" t="n"/>
      <c r="AZ29" s="58" t="n"/>
      <c r="BA29" s="58" t="n"/>
      <c r="BB29" s="58" t="n"/>
      <c r="BC29" s="58" t="n"/>
      <c r="BD29" s="58" t="n"/>
      <c r="BE29" s="58" t="n"/>
      <c r="BF29" s="58" t="n"/>
      <c r="BG29" s="58" t="n"/>
      <c r="BH29" s="58" t="n"/>
      <c r="BI29" s="58" t="n"/>
      <c r="BJ29" s="58" t="n"/>
      <c r="BK29" s="58" t="n"/>
      <c r="BL29" s="58" t="n"/>
      <c r="BM29" s="58" t="n"/>
      <c r="BN29" s="58" t="n"/>
      <c r="BO29" s="58" t="n"/>
      <c r="BP29" s="58" t="n"/>
      <c r="BQ29" s="58" t="n"/>
      <c r="BR29" s="58" t="n"/>
      <c r="BS29" s="58" t="n"/>
      <c r="BT29" s="58" t="n"/>
      <c r="BU29" s="58" t="n"/>
      <c r="BV29" s="58" t="n"/>
      <c r="BW29" s="58" t="n"/>
      <c r="BX29" s="58" t="n"/>
      <c r="BY29" s="58" t="n"/>
      <c r="BZ29" s="58" t="n"/>
      <c r="CA29" s="58" t="n"/>
      <c r="CB29" s="58" t="n"/>
      <c r="CC29" s="58" t="n"/>
      <c r="CD29" s="58" t="n"/>
      <c r="CE29" s="58" t="n"/>
      <c r="CF29" s="58" t="n"/>
      <c r="CG29" s="58" t="n"/>
      <c r="CH29" s="58" t="n"/>
      <c r="CI29" s="58" t="n"/>
      <c r="CJ29" s="58" t="n"/>
      <c r="CK29" s="58" t="n"/>
      <c r="CL29" s="58" t="n"/>
      <c r="CM29" s="58" t="n"/>
    </row>
    <row r="30">
      <c r="A30" s="1" t="n"/>
      <c r="B30" s="59" t="inlineStr">
        <is>
          <t>3.1</t>
        </is>
      </c>
      <c r="C30" s="60" t="inlineStr">
        <is>
          <t>P3 設立手続</t>
        </is>
      </c>
      <c r="D30" s="61" t="inlineStr">
        <is>
          <t>定款認証(株式会社の場合)</t>
        </is>
      </c>
      <c r="E30" s="61" t="inlineStr">
        <is>
          <t>公証役場で定款を認証する(合同会社は認証不要)［担当: 士業 / 人間／士業］［依存: 2.8］</t>
        </is>
      </c>
      <c r="F30" s="62" t="n"/>
      <c r="G30" s="60" t="inlineStr">
        <is>
          <t>認証済み定款</t>
        </is>
      </c>
      <c r="H30" s="63" t="n">
        <v>46370</v>
      </c>
      <c r="I30" s="63" t="n">
        <v>46372</v>
      </c>
      <c r="J30" s="64">
        <f>IF(AND(H30&lt;&gt;"",I30&lt;&gt;""),DAYS(I30,H30)+1,"")</f>
        <v/>
      </c>
      <c r="K30" s="65" t="n">
        <v>0</v>
      </c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  <c r="AO30" s="66" t="n"/>
      <c r="AP30" s="66" t="n"/>
      <c r="AQ30" s="66" t="n"/>
      <c r="AR30" s="66" t="n"/>
      <c r="AS30" s="66" t="n"/>
      <c r="AT30" s="66" t="n"/>
      <c r="AU30" s="66" t="n"/>
      <c r="AV30" s="66" t="n"/>
      <c r="AW30" s="66" t="n"/>
      <c r="AX30" s="66" t="n"/>
      <c r="AY30" s="66" t="n"/>
      <c r="AZ30" s="66" t="n"/>
      <c r="BA30" s="66" t="n"/>
      <c r="BB30" s="66" t="n"/>
      <c r="BC30" s="66" t="n"/>
      <c r="BD30" s="66" t="n"/>
      <c r="BE30" s="66" t="n"/>
      <c r="BF30" s="66" t="n"/>
      <c r="BG30" s="66" t="n"/>
      <c r="BH30" s="66" t="n"/>
      <c r="BI30" s="66" t="n"/>
      <c r="BJ30" s="66" t="n"/>
      <c r="BK30" s="66" t="n"/>
      <c r="BL30" s="66" t="n"/>
      <c r="BM30" s="66" t="n"/>
      <c r="BN30" s="66" t="n"/>
      <c r="BO30" s="66" t="n"/>
      <c r="BP30" s="66" t="n"/>
      <c r="BQ30" s="66" t="n"/>
      <c r="BR30" s="66" t="n"/>
      <c r="BS30" s="66" t="n"/>
      <c r="BT30" s="66" t="n"/>
      <c r="BU30" s="66" t="n"/>
      <c r="BV30" s="66" t="n"/>
      <c r="BW30" s="66" t="n"/>
      <c r="BX30" s="66" t="n"/>
      <c r="BY30" s="66" t="n"/>
      <c r="BZ30" s="66" t="n"/>
      <c r="CA30" s="66" t="n"/>
      <c r="CB30" s="66" t="n"/>
      <c r="CC30" s="66" t="n"/>
      <c r="CD30" s="66" t="n"/>
      <c r="CE30" s="66" t="n"/>
      <c r="CF30" s="66" t="n"/>
      <c r="CG30" s="66" t="n"/>
      <c r="CH30" s="66" t="n"/>
      <c r="CI30" s="66" t="n"/>
      <c r="CJ30" s="66" t="n"/>
      <c r="CK30" s="66" t="n"/>
      <c r="CL30" s="66" t="n"/>
      <c r="CM30" s="66" t="n"/>
    </row>
    <row r="31">
      <c r="A31" s="1" t="n"/>
      <c r="B31" s="59" t="inlineStr">
        <is>
          <t>3.2</t>
        </is>
      </c>
      <c r="C31" s="60" t="inlineStr">
        <is>
          <t>P3 設立手続</t>
        </is>
      </c>
      <c r="D31" s="61" t="inlineStr">
        <is>
          <t>出資金の払込み・払込証明書</t>
        </is>
      </c>
      <c r="E31" s="61" t="inlineStr">
        <is>
          <t>発起人口座へ払込み、通帳コピー等で払込証明書を作成する［担当: 人間／人間］［依存: 3.1］</t>
        </is>
      </c>
      <c r="F31" s="62" t="n"/>
      <c r="G31" s="60" t="inlineStr">
        <is>
          <t>払込証明書</t>
        </is>
      </c>
      <c r="H31" s="63" t="n">
        <v>46373</v>
      </c>
      <c r="I31" s="63" t="n">
        <v>46374</v>
      </c>
      <c r="J31" s="64">
        <f>IF(AND(H31&lt;&gt;"",I31&lt;&gt;""),DAYS(I31,H31)+1,"")</f>
        <v/>
      </c>
      <c r="K31" s="65" t="n">
        <v>0</v>
      </c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  <c r="AO31" s="66" t="n"/>
      <c r="AP31" s="66" t="n"/>
      <c r="AQ31" s="66" t="n"/>
      <c r="AR31" s="66" t="n"/>
      <c r="AS31" s="66" t="n"/>
      <c r="AT31" s="66" t="n"/>
      <c r="AU31" s="66" t="n"/>
      <c r="AV31" s="66" t="n"/>
      <c r="AW31" s="66" t="n"/>
      <c r="AX31" s="66" t="n"/>
      <c r="AY31" s="66" t="n"/>
      <c r="AZ31" s="66" t="n"/>
      <c r="BA31" s="66" t="n"/>
      <c r="BB31" s="66" t="n"/>
      <c r="BC31" s="66" t="n"/>
      <c r="BD31" s="66" t="n"/>
      <c r="BE31" s="66" t="n"/>
      <c r="BF31" s="66" t="n"/>
      <c r="BG31" s="66" t="n"/>
      <c r="BH31" s="66" t="n"/>
      <c r="BI31" s="66" t="n"/>
      <c r="BJ31" s="66" t="n"/>
      <c r="BK31" s="66" t="n"/>
      <c r="BL31" s="66" t="n"/>
      <c r="BM31" s="66" t="n"/>
      <c r="BN31" s="66" t="n"/>
      <c r="BO31" s="66" t="n"/>
      <c r="BP31" s="66" t="n"/>
      <c r="BQ31" s="66" t="n"/>
      <c r="BR31" s="66" t="n"/>
      <c r="BS31" s="66" t="n"/>
      <c r="BT31" s="66" t="n"/>
      <c r="BU31" s="66" t="n"/>
      <c r="BV31" s="66" t="n"/>
      <c r="BW31" s="66" t="n"/>
      <c r="BX31" s="66" t="n"/>
      <c r="BY31" s="66" t="n"/>
      <c r="BZ31" s="66" t="n"/>
      <c r="CA31" s="66" t="n"/>
      <c r="CB31" s="66" t="n"/>
      <c r="CC31" s="66" t="n"/>
      <c r="CD31" s="66" t="n"/>
      <c r="CE31" s="66" t="n"/>
      <c r="CF31" s="66" t="n"/>
      <c r="CG31" s="66" t="n"/>
      <c r="CH31" s="66" t="n"/>
      <c r="CI31" s="66" t="n"/>
      <c r="CJ31" s="66" t="n"/>
      <c r="CK31" s="66" t="n"/>
      <c r="CL31" s="66" t="n"/>
      <c r="CM31" s="66" t="n"/>
    </row>
    <row r="32">
      <c r="A32" s="1" t="n"/>
      <c r="B32" s="59" t="inlineStr">
        <is>
          <t>3.3</t>
        </is>
      </c>
      <c r="C32" s="60" t="inlineStr">
        <is>
          <t>P3 設立手続</t>
        </is>
      </c>
      <c r="D32" s="61" t="inlineStr">
        <is>
          <t>登記申請書類の作成</t>
        </is>
      </c>
      <c r="E32" s="61" t="inlineStr">
        <is>
          <t>設立登記申請書・就任承諾書・印鑑届書等を作成する［担当: incorporation-legal／士業］［依存: 3.2］</t>
        </is>
      </c>
      <c r="F32" s="62" t="n"/>
      <c r="G32" s="60" t="inlineStr">
        <is>
          <t>登記申請書類一式</t>
        </is>
      </c>
      <c r="H32" s="63" t="n">
        <v>46377</v>
      </c>
      <c r="I32" s="63" t="n">
        <v>46379</v>
      </c>
      <c r="J32" s="64">
        <f>IF(AND(H32&lt;&gt;"",I32&lt;&gt;""),DAYS(I32,H32)+1,"")</f>
        <v/>
      </c>
      <c r="K32" s="65" t="n">
        <v>0</v>
      </c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  <c r="AO32" s="66" t="n"/>
      <c r="AP32" s="66" t="n"/>
      <c r="AQ32" s="66" t="n"/>
      <c r="AR32" s="66" t="n"/>
      <c r="AS32" s="66" t="n"/>
      <c r="AT32" s="66" t="n"/>
      <c r="AU32" s="66" t="n"/>
      <c r="AV32" s="66" t="n"/>
      <c r="AW32" s="66" t="n"/>
      <c r="AX32" s="66" t="n"/>
      <c r="AY32" s="66" t="n"/>
      <c r="AZ32" s="66" t="n"/>
      <c r="BA32" s="66" t="n"/>
      <c r="BB32" s="66" t="n"/>
      <c r="BC32" s="66" t="n"/>
      <c r="BD32" s="66" t="n"/>
      <c r="BE32" s="66" t="n"/>
      <c r="BF32" s="66" t="n"/>
      <c r="BG32" s="66" t="n"/>
      <c r="BH32" s="66" t="n"/>
      <c r="BI32" s="66" t="n"/>
      <c r="BJ32" s="66" t="n"/>
      <c r="BK32" s="66" t="n"/>
      <c r="BL32" s="66" t="n"/>
      <c r="BM32" s="66" t="n"/>
      <c r="BN32" s="66" t="n"/>
      <c r="BO32" s="66" t="n"/>
      <c r="BP32" s="66" t="n"/>
      <c r="BQ32" s="66" t="n"/>
      <c r="BR32" s="66" t="n"/>
      <c r="BS32" s="66" t="n"/>
      <c r="BT32" s="66" t="n"/>
      <c r="BU32" s="66" t="n"/>
      <c r="BV32" s="66" t="n"/>
      <c r="BW32" s="66" t="n"/>
      <c r="BX32" s="66" t="n"/>
      <c r="BY32" s="66" t="n"/>
      <c r="BZ32" s="66" t="n"/>
      <c r="CA32" s="66" t="n"/>
      <c r="CB32" s="66" t="n"/>
      <c r="CC32" s="66" t="n"/>
      <c r="CD32" s="66" t="n"/>
      <c r="CE32" s="66" t="n"/>
      <c r="CF32" s="66" t="n"/>
      <c r="CG32" s="66" t="n"/>
      <c r="CH32" s="66" t="n"/>
      <c r="CI32" s="66" t="n"/>
      <c r="CJ32" s="66" t="n"/>
      <c r="CK32" s="66" t="n"/>
      <c r="CL32" s="66" t="n"/>
      <c r="CM32" s="66" t="n"/>
    </row>
    <row r="33">
      <c r="A33" s="1" t="n"/>
      <c r="B33" s="59" t="inlineStr">
        <is>
          <t>3.4</t>
        </is>
      </c>
      <c r="C33" s="60" t="inlineStr">
        <is>
          <t>P3 設立手続</t>
        </is>
      </c>
      <c r="D33" s="61" t="inlineStr">
        <is>
          <t>設立登記申請(=設立日)</t>
        </is>
      </c>
      <c r="E33" s="61" t="inlineStr">
        <is>
          <t>法務局へ設立登記を申請する(申請日が会社成立日)［担当: 士業 / 人間／士業］［依存: 3.3］</t>
        </is>
      </c>
      <c r="F33" s="62" t="n"/>
      <c r="G33" s="60" t="inlineStr">
        <is>
          <t>登記申請受付</t>
        </is>
      </c>
      <c r="H33" s="63" t="n">
        <v>46380</v>
      </c>
      <c r="I33" s="63" t="n">
        <v>46380</v>
      </c>
      <c r="J33" s="64">
        <f>IF(AND(H33&lt;&gt;"",I33&lt;&gt;""),DAYS(I33,H33)+1,"")</f>
        <v/>
      </c>
      <c r="K33" s="65" t="n">
        <v>0</v>
      </c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  <c r="AO33" s="66" t="n"/>
      <c r="AP33" s="66" t="n"/>
      <c r="AQ33" s="66" t="n"/>
      <c r="AR33" s="66" t="n"/>
      <c r="AS33" s="66" t="n"/>
      <c r="AT33" s="66" t="n"/>
      <c r="AU33" s="66" t="n"/>
      <c r="AV33" s="66" t="n"/>
      <c r="AW33" s="66" t="n"/>
      <c r="AX33" s="66" t="n"/>
      <c r="AY33" s="66" t="n"/>
      <c r="AZ33" s="66" t="n"/>
      <c r="BA33" s="66" t="n"/>
      <c r="BB33" s="66" t="n"/>
      <c r="BC33" s="66" t="n"/>
      <c r="BD33" s="66" t="n"/>
      <c r="BE33" s="66" t="n"/>
      <c r="BF33" s="66" t="n"/>
      <c r="BG33" s="66" t="n"/>
      <c r="BH33" s="66" t="n"/>
      <c r="BI33" s="66" t="n"/>
      <c r="BJ33" s="66" t="n"/>
      <c r="BK33" s="66" t="n"/>
      <c r="BL33" s="66" t="n"/>
      <c r="BM33" s="66" t="n"/>
      <c r="BN33" s="66" t="n"/>
      <c r="BO33" s="66" t="n"/>
      <c r="BP33" s="66" t="n"/>
      <c r="BQ33" s="66" t="n"/>
      <c r="BR33" s="66" t="n"/>
      <c r="BS33" s="66" t="n"/>
      <c r="BT33" s="66" t="n"/>
      <c r="BU33" s="66" t="n"/>
      <c r="BV33" s="66" t="n"/>
      <c r="BW33" s="66" t="n"/>
      <c r="BX33" s="66" t="n"/>
      <c r="BY33" s="66" t="n"/>
      <c r="BZ33" s="66" t="n"/>
      <c r="CA33" s="66" t="n"/>
      <c r="CB33" s="66" t="n"/>
      <c r="CC33" s="66" t="n"/>
      <c r="CD33" s="66" t="n"/>
      <c r="CE33" s="66" t="n"/>
      <c r="CF33" s="66" t="n"/>
      <c r="CG33" s="66" t="n"/>
      <c r="CH33" s="66" t="n"/>
      <c r="CI33" s="66" t="n"/>
      <c r="CJ33" s="66" t="n"/>
      <c r="CK33" s="66" t="n"/>
      <c r="CL33" s="66" t="n"/>
      <c r="CM33" s="66" t="n"/>
    </row>
    <row r="34">
      <c r="A34" s="1" t="n"/>
      <c r="B34" s="59" t="inlineStr">
        <is>
          <t>3.5</t>
        </is>
      </c>
      <c r="C34" s="60" t="inlineStr">
        <is>
          <t>P3 設立手続</t>
        </is>
      </c>
      <c r="D34" s="61" t="inlineStr">
        <is>
          <t>登記完了確認・証明書取得</t>
        </is>
      </c>
      <c r="E34" s="61" t="inlineStr">
        <is>
          <t>登記事項証明書・印鑑証明書を取得する(複数通)［担当: 人間／人間］［依存: 3.4］</t>
        </is>
      </c>
      <c r="F34" s="62" t="n"/>
      <c r="G34" s="60" t="inlineStr">
        <is>
          <t>登記事項証明書</t>
        </is>
      </c>
      <c r="H34" s="63" t="n">
        <v>46381</v>
      </c>
      <c r="I34" s="63" t="n">
        <v>46391</v>
      </c>
      <c r="J34" s="64">
        <f>IF(AND(H34&lt;&gt;"",I34&lt;&gt;""),DAYS(I34,H34)+1,"")</f>
        <v/>
      </c>
      <c r="K34" s="65" t="n">
        <v>0</v>
      </c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  <c r="AO34" s="66" t="n"/>
      <c r="AP34" s="66" t="n"/>
      <c r="AQ34" s="66" t="n"/>
      <c r="AR34" s="66" t="n"/>
      <c r="AS34" s="66" t="n"/>
      <c r="AT34" s="66" t="n"/>
      <c r="AU34" s="66" t="n"/>
      <c r="AV34" s="66" t="n"/>
      <c r="AW34" s="66" t="n"/>
      <c r="AX34" s="66" t="n"/>
      <c r="AY34" s="66" t="n"/>
      <c r="AZ34" s="66" t="n"/>
      <c r="BA34" s="66" t="n"/>
      <c r="BB34" s="66" t="n"/>
      <c r="BC34" s="66" t="n"/>
      <c r="BD34" s="66" t="n"/>
      <c r="BE34" s="66" t="n"/>
      <c r="BF34" s="66" t="n"/>
      <c r="BG34" s="66" t="n"/>
      <c r="BH34" s="66" t="n"/>
      <c r="BI34" s="66" t="n"/>
      <c r="BJ34" s="66" t="n"/>
      <c r="BK34" s="66" t="n"/>
      <c r="BL34" s="66" t="n"/>
      <c r="BM34" s="66" t="n"/>
      <c r="BN34" s="66" t="n"/>
      <c r="BO34" s="66" t="n"/>
      <c r="BP34" s="66" t="n"/>
      <c r="BQ34" s="66" t="n"/>
      <c r="BR34" s="66" t="n"/>
      <c r="BS34" s="66" t="n"/>
      <c r="BT34" s="66" t="n"/>
      <c r="BU34" s="66" t="n"/>
      <c r="BV34" s="66" t="n"/>
      <c r="BW34" s="66" t="n"/>
      <c r="BX34" s="66" t="n"/>
      <c r="BY34" s="66" t="n"/>
      <c r="BZ34" s="66" t="n"/>
      <c r="CA34" s="66" t="n"/>
      <c r="CB34" s="66" t="n"/>
      <c r="CC34" s="66" t="n"/>
      <c r="CD34" s="66" t="n"/>
      <c r="CE34" s="66" t="n"/>
      <c r="CF34" s="66" t="n"/>
      <c r="CG34" s="66" t="n"/>
      <c r="CH34" s="66" t="n"/>
      <c r="CI34" s="66" t="n"/>
      <c r="CJ34" s="66" t="n"/>
      <c r="CK34" s="66" t="n"/>
      <c r="CL34" s="66" t="n"/>
      <c r="CM34" s="66" t="n"/>
    </row>
    <row r="35">
      <c r="A35" s="1" t="n"/>
      <c r="B35" s="53" t="inlineStr">
        <is>
          <t>4</t>
        </is>
      </c>
      <c r="C35" s="54" t="inlineStr">
        <is>
          <t>P4 設立後の届出(税務・社保・労保)</t>
        </is>
      </c>
      <c r="D35" s="54" t="n"/>
      <c r="E35" s="54" t="inlineStr">
        <is>
          <t>期限付きの届出を漏れなく完了する(期限は設立日起算で自動計算)</t>
        </is>
      </c>
      <c r="F35" s="54" t="n"/>
      <c r="G35" s="54" t="n"/>
      <c r="H35" s="55" t="n"/>
      <c r="I35" s="55" t="n"/>
      <c r="J35" s="56" t="n"/>
      <c r="K35" s="57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58" t="n"/>
      <c r="W35" s="58" t="n"/>
      <c r="X35" s="58" t="n"/>
      <c r="Y35" s="58" t="n"/>
      <c r="Z35" s="58" t="n"/>
      <c r="AA35" s="58" t="n"/>
      <c r="AB35" s="58" t="n"/>
      <c r="AC35" s="58" t="n"/>
      <c r="AD35" s="58" t="n"/>
      <c r="AE35" s="58" t="n"/>
      <c r="AF35" s="58" t="n"/>
      <c r="AG35" s="58" t="n"/>
      <c r="AH35" s="58" t="n"/>
      <c r="AI35" s="58" t="n"/>
      <c r="AJ35" s="58" t="n"/>
      <c r="AK35" s="58" t="n"/>
      <c r="AL35" s="58" t="n"/>
      <c r="AM35" s="58" t="n"/>
      <c r="AN35" s="58" t="n"/>
      <c r="AO35" s="58" t="n"/>
      <c r="AP35" s="58" t="n"/>
      <c r="AQ35" s="58" t="n"/>
      <c r="AR35" s="58" t="n"/>
      <c r="AS35" s="58" t="n"/>
      <c r="AT35" s="58" t="n"/>
      <c r="AU35" s="58" t="n"/>
      <c r="AV35" s="58" t="n"/>
      <c r="AW35" s="58" t="n"/>
      <c r="AX35" s="58" t="n"/>
      <c r="AY35" s="58" t="n"/>
      <c r="AZ35" s="58" t="n"/>
      <c r="BA35" s="58" t="n"/>
      <c r="BB35" s="58" t="n"/>
      <c r="BC35" s="58" t="n"/>
      <c r="BD35" s="58" t="n"/>
      <c r="BE35" s="58" t="n"/>
      <c r="BF35" s="58" t="n"/>
      <c r="BG35" s="58" t="n"/>
      <c r="BH35" s="58" t="n"/>
      <c r="BI35" s="58" t="n"/>
      <c r="BJ35" s="58" t="n"/>
      <c r="BK35" s="58" t="n"/>
      <c r="BL35" s="58" t="n"/>
      <c r="BM35" s="58" t="n"/>
      <c r="BN35" s="58" t="n"/>
      <c r="BO35" s="58" t="n"/>
      <c r="BP35" s="58" t="n"/>
      <c r="BQ35" s="58" t="n"/>
      <c r="BR35" s="58" t="n"/>
      <c r="BS35" s="58" t="n"/>
      <c r="BT35" s="58" t="n"/>
      <c r="BU35" s="58" t="n"/>
      <c r="BV35" s="58" t="n"/>
      <c r="BW35" s="58" t="n"/>
      <c r="BX35" s="58" t="n"/>
      <c r="BY35" s="58" t="n"/>
      <c r="BZ35" s="58" t="n"/>
      <c r="CA35" s="58" t="n"/>
      <c r="CB35" s="58" t="n"/>
      <c r="CC35" s="58" t="n"/>
      <c r="CD35" s="58" t="n"/>
      <c r="CE35" s="58" t="n"/>
      <c r="CF35" s="58" t="n"/>
      <c r="CG35" s="58" t="n"/>
      <c r="CH35" s="58" t="n"/>
      <c r="CI35" s="58" t="n"/>
      <c r="CJ35" s="58" t="n"/>
      <c r="CK35" s="58" t="n"/>
      <c r="CL35" s="58" t="n"/>
      <c r="CM35" s="58" t="n"/>
    </row>
    <row r="36">
      <c r="A36" s="1" t="n"/>
      <c r="B36" s="59" t="inlineStr">
        <is>
          <t>4.1</t>
        </is>
      </c>
      <c r="C36" s="60" t="inlineStr">
        <is>
          <t>P4 設立後の届出(税務・社保・労保)</t>
        </is>
      </c>
      <c r="D36" s="61" t="inlineStr">
        <is>
          <t>届出期限トラッカーの設定</t>
        </is>
      </c>
      <c r="E36" s="61" t="inlineStr">
        <is>
          <t>設立日を起点に全届出の期限日を自動計算し、担当と期日を共有する［担当: business-launch / incorporation-legal／AI］［依存: 3.4］</t>
        </is>
      </c>
      <c r="F36" s="62" t="n"/>
      <c r="G36" s="60" t="inlineStr">
        <is>
          <t>legal-procedure-tracker.csv</t>
        </is>
      </c>
      <c r="H36" s="63" t="n">
        <v>46381</v>
      </c>
      <c r="I36" s="63" t="n">
        <v>46381</v>
      </c>
      <c r="J36" s="64">
        <f>IF(AND(H36&lt;&gt;"",I36&lt;&gt;""),DAYS(I36,H36)+1,"")</f>
        <v/>
      </c>
      <c r="K36" s="65" t="n">
        <v>0</v>
      </c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  <c r="AO36" s="66" t="n"/>
      <c r="AP36" s="66" t="n"/>
      <c r="AQ36" s="66" t="n"/>
      <c r="AR36" s="66" t="n"/>
      <c r="AS36" s="66" t="n"/>
      <c r="AT36" s="66" t="n"/>
      <c r="AU36" s="66" t="n"/>
      <c r="AV36" s="66" t="n"/>
      <c r="AW36" s="66" t="n"/>
      <c r="AX36" s="66" t="n"/>
      <c r="AY36" s="66" t="n"/>
      <c r="AZ36" s="66" t="n"/>
      <c r="BA36" s="66" t="n"/>
      <c r="BB36" s="66" t="n"/>
      <c r="BC36" s="66" t="n"/>
      <c r="BD36" s="66" t="n"/>
      <c r="BE36" s="66" t="n"/>
      <c r="BF36" s="66" t="n"/>
      <c r="BG36" s="66" t="n"/>
      <c r="BH36" s="66" t="n"/>
      <c r="BI36" s="66" t="n"/>
      <c r="BJ36" s="66" t="n"/>
      <c r="BK36" s="66" t="n"/>
      <c r="BL36" s="66" t="n"/>
      <c r="BM36" s="66" t="n"/>
      <c r="BN36" s="66" t="n"/>
      <c r="BO36" s="66" t="n"/>
      <c r="BP36" s="66" t="n"/>
      <c r="BQ36" s="66" t="n"/>
      <c r="BR36" s="66" t="n"/>
      <c r="BS36" s="66" t="n"/>
      <c r="BT36" s="66" t="n"/>
      <c r="BU36" s="66" t="n"/>
      <c r="BV36" s="66" t="n"/>
      <c r="BW36" s="66" t="n"/>
      <c r="BX36" s="66" t="n"/>
      <c r="BY36" s="66" t="n"/>
      <c r="BZ36" s="66" t="n"/>
      <c r="CA36" s="66" t="n"/>
      <c r="CB36" s="66" t="n"/>
      <c r="CC36" s="66" t="n"/>
      <c r="CD36" s="66" t="n"/>
      <c r="CE36" s="66" t="n"/>
      <c r="CF36" s="66" t="n"/>
      <c r="CG36" s="66" t="n"/>
      <c r="CH36" s="66" t="n"/>
      <c r="CI36" s="66" t="n"/>
      <c r="CJ36" s="66" t="n"/>
      <c r="CK36" s="66" t="n"/>
      <c r="CL36" s="66" t="n"/>
      <c r="CM36" s="66" t="n"/>
    </row>
    <row r="37">
      <c r="A37" s="1" t="n"/>
      <c r="B37" s="59" t="inlineStr">
        <is>
          <t>4.2</t>
        </is>
      </c>
      <c r="C37" s="60" t="inlineStr">
        <is>
          <t>P4 設立後の届出(税務・社保・労保)</t>
        </is>
      </c>
      <c r="D37" s="61" t="inlineStr">
        <is>
          <t>税務署への届出</t>
        </is>
      </c>
      <c r="E37" s="61" t="inlineStr">
        <is>
          <t>法人設立届出書・青色申告承認申請書・給与支払事務所等の開設届出書等［担当: incorporation-legal／士業］［依存: 3.5］</t>
        </is>
      </c>
      <c r="F37" s="62" t="n"/>
      <c r="G37" s="60" t="inlineStr">
        <is>
          <t>届出控え</t>
        </is>
      </c>
      <c r="H37" s="63" t="n">
        <v>46392</v>
      </c>
      <c r="I37" s="63" t="n">
        <v>46394</v>
      </c>
      <c r="J37" s="64">
        <f>IF(AND(H37&lt;&gt;"",I37&lt;&gt;""),DAYS(I37,H37)+1,"")</f>
        <v/>
      </c>
      <c r="K37" s="65" t="n">
        <v>0</v>
      </c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  <c r="AO37" s="66" t="n"/>
      <c r="AP37" s="66" t="n"/>
      <c r="AQ37" s="66" t="n"/>
      <c r="AR37" s="66" t="n"/>
      <c r="AS37" s="66" t="n"/>
      <c r="AT37" s="66" t="n"/>
      <c r="AU37" s="66" t="n"/>
      <c r="AV37" s="66" t="n"/>
      <c r="AW37" s="66" t="n"/>
      <c r="AX37" s="66" t="n"/>
      <c r="AY37" s="66" t="n"/>
      <c r="AZ37" s="66" t="n"/>
      <c r="BA37" s="66" t="n"/>
      <c r="BB37" s="66" t="n"/>
      <c r="BC37" s="66" t="n"/>
      <c r="BD37" s="66" t="n"/>
      <c r="BE37" s="66" t="n"/>
      <c r="BF37" s="66" t="n"/>
      <c r="BG37" s="66" t="n"/>
      <c r="BH37" s="66" t="n"/>
      <c r="BI37" s="66" t="n"/>
      <c r="BJ37" s="66" t="n"/>
      <c r="BK37" s="66" t="n"/>
      <c r="BL37" s="66" t="n"/>
      <c r="BM37" s="66" t="n"/>
      <c r="BN37" s="66" t="n"/>
      <c r="BO37" s="66" t="n"/>
      <c r="BP37" s="66" t="n"/>
      <c r="BQ37" s="66" t="n"/>
      <c r="BR37" s="66" t="n"/>
      <c r="BS37" s="66" t="n"/>
      <c r="BT37" s="66" t="n"/>
      <c r="BU37" s="66" t="n"/>
      <c r="BV37" s="66" t="n"/>
      <c r="BW37" s="66" t="n"/>
      <c r="BX37" s="66" t="n"/>
      <c r="BY37" s="66" t="n"/>
      <c r="BZ37" s="66" t="n"/>
      <c r="CA37" s="66" t="n"/>
      <c r="CB37" s="66" t="n"/>
      <c r="CC37" s="66" t="n"/>
      <c r="CD37" s="66" t="n"/>
      <c r="CE37" s="66" t="n"/>
      <c r="CF37" s="66" t="n"/>
      <c r="CG37" s="66" t="n"/>
      <c r="CH37" s="66" t="n"/>
      <c r="CI37" s="66" t="n"/>
      <c r="CJ37" s="66" t="n"/>
      <c r="CK37" s="66" t="n"/>
      <c r="CL37" s="66" t="n"/>
      <c r="CM37" s="66" t="n"/>
    </row>
    <row r="38">
      <c r="A38" s="1" t="n"/>
      <c r="B38" s="59" t="inlineStr">
        <is>
          <t>4.3</t>
        </is>
      </c>
      <c r="C38" s="60" t="inlineStr">
        <is>
          <t>P4 設立後の届出(税務・社保・労保)</t>
        </is>
      </c>
      <c r="D38" s="61" t="inlineStr">
        <is>
          <t>都道府県・市区町村への届出</t>
        </is>
      </c>
      <c r="E38" s="61" t="inlineStr">
        <is>
          <t>法人設立届出書(自治体ごとに期限・様式が異なる)［担当: incorporation-legal／士業］［依存: 3.5］</t>
        </is>
      </c>
      <c r="F38" s="62" t="n"/>
      <c r="G38" s="60" t="inlineStr">
        <is>
          <t>届出控え</t>
        </is>
      </c>
      <c r="H38" s="63" t="n">
        <v>46392</v>
      </c>
      <c r="I38" s="63" t="n">
        <v>46394</v>
      </c>
      <c r="J38" s="64">
        <f>IF(AND(H38&lt;&gt;"",I38&lt;&gt;""),DAYS(I38,H38)+1,"")</f>
        <v/>
      </c>
      <c r="K38" s="65" t="n">
        <v>0</v>
      </c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  <c r="AO38" s="66" t="n"/>
      <c r="AP38" s="66" t="n"/>
      <c r="AQ38" s="66" t="n"/>
      <c r="AR38" s="66" t="n"/>
      <c r="AS38" s="66" t="n"/>
      <c r="AT38" s="66" t="n"/>
      <c r="AU38" s="66" t="n"/>
      <c r="AV38" s="66" t="n"/>
      <c r="AW38" s="66" t="n"/>
      <c r="AX38" s="66" t="n"/>
      <c r="AY38" s="66" t="n"/>
      <c r="AZ38" s="66" t="n"/>
      <c r="BA38" s="66" t="n"/>
      <c r="BB38" s="66" t="n"/>
      <c r="BC38" s="66" t="n"/>
      <c r="BD38" s="66" t="n"/>
      <c r="BE38" s="66" t="n"/>
      <c r="BF38" s="66" t="n"/>
      <c r="BG38" s="66" t="n"/>
      <c r="BH38" s="66" t="n"/>
      <c r="BI38" s="66" t="n"/>
      <c r="BJ38" s="66" t="n"/>
      <c r="BK38" s="66" t="n"/>
      <c r="BL38" s="66" t="n"/>
      <c r="BM38" s="66" t="n"/>
      <c r="BN38" s="66" t="n"/>
      <c r="BO38" s="66" t="n"/>
      <c r="BP38" s="66" t="n"/>
      <c r="BQ38" s="66" t="n"/>
      <c r="BR38" s="66" t="n"/>
      <c r="BS38" s="66" t="n"/>
      <c r="BT38" s="66" t="n"/>
      <c r="BU38" s="66" t="n"/>
      <c r="BV38" s="66" t="n"/>
      <c r="BW38" s="66" t="n"/>
      <c r="BX38" s="66" t="n"/>
      <c r="BY38" s="66" t="n"/>
      <c r="BZ38" s="66" t="n"/>
      <c r="CA38" s="66" t="n"/>
      <c r="CB38" s="66" t="n"/>
      <c r="CC38" s="66" t="n"/>
      <c r="CD38" s="66" t="n"/>
      <c r="CE38" s="66" t="n"/>
      <c r="CF38" s="66" t="n"/>
      <c r="CG38" s="66" t="n"/>
      <c r="CH38" s="66" t="n"/>
      <c r="CI38" s="66" t="n"/>
      <c r="CJ38" s="66" t="n"/>
      <c r="CK38" s="66" t="n"/>
      <c r="CL38" s="66" t="n"/>
      <c r="CM38" s="66" t="n"/>
    </row>
    <row r="39">
      <c r="A39" s="1" t="n"/>
      <c r="B39" s="59" t="inlineStr">
        <is>
          <t>4.4</t>
        </is>
      </c>
      <c r="C39" s="60" t="inlineStr">
        <is>
          <t>P4 設立後の届出(税務・社保・労保)</t>
        </is>
      </c>
      <c r="D39" s="61" t="inlineStr">
        <is>
          <t>年金事務所への届出(社会保険)</t>
        </is>
      </c>
      <c r="E39" s="61" t="inlineStr">
        <is>
          <t>健康保険・厚生年金保険の新規適用届・被保険者資格取得届［担当: labor-management／士業］［依存: 3.5］</t>
        </is>
      </c>
      <c r="F39" s="62" t="n"/>
      <c r="G39" s="60" t="inlineStr">
        <is>
          <t>適用通知</t>
        </is>
      </c>
      <c r="H39" s="63" t="n">
        <v>46392</v>
      </c>
      <c r="I39" s="63" t="n">
        <v>46398</v>
      </c>
      <c r="J39" s="64">
        <f>IF(AND(H39&lt;&gt;"",I39&lt;&gt;""),DAYS(I39,H39)+1,"")</f>
        <v/>
      </c>
      <c r="K39" s="65" t="n">
        <v>0</v>
      </c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  <c r="AO39" s="66" t="n"/>
      <c r="AP39" s="66" t="n"/>
      <c r="AQ39" s="66" t="n"/>
      <c r="AR39" s="66" t="n"/>
      <c r="AS39" s="66" t="n"/>
      <c r="AT39" s="66" t="n"/>
      <c r="AU39" s="66" t="n"/>
      <c r="AV39" s="66" t="n"/>
      <c r="AW39" s="66" t="n"/>
      <c r="AX39" s="66" t="n"/>
      <c r="AY39" s="66" t="n"/>
      <c r="AZ39" s="66" t="n"/>
      <c r="BA39" s="66" t="n"/>
      <c r="BB39" s="66" t="n"/>
      <c r="BC39" s="66" t="n"/>
      <c r="BD39" s="66" t="n"/>
      <c r="BE39" s="66" t="n"/>
      <c r="BF39" s="66" t="n"/>
      <c r="BG39" s="66" t="n"/>
      <c r="BH39" s="66" t="n"/>
      <c r="BI39" s="66" t="n"/>
      <c r="BJ39" s="66" t="n"/>
      <c r="BK39" s="66" t="n"/>
      <c r="BL39" s="66" t="n"/>
      <c r="BM39" s="66" t="n"/>
      <c r="BN39" s="66" t="n"/>
      <c r="BO39" s="66" t="n"/>
      <c r="BP39" s="66" t="n"/>
      <c r="BQ39" s="66" t="n"/>
      <c r="BR39" s="66" t="n"/>
      <c r="BS39" s="66" t="n"/>
      <c r="BT39" s="66" t="n"/>
      <c r="BU39" s="66" t="n"/>
      <c r="BV39" s="66" t="n"/>
      <c r="BW39" s="66" t="n"/>
      <c r="BX39" s="66" t="n"/>
      <c r="BY39" s="66" t="n"/>
      <c r="BZ39" s="66" t="n"/>
      <c r="CA39" s="66" t="n"/>
      <c r="CB39" s="66" t="n"/>
      <c r="CC39" s="66" t="n"/>
      <c r="CD39" s="66" t="n"/>
      <c r="CE39" s="66" t="n"/>
      <c r="CF39" s="66" t="n"/>
      <c r="CG39" s="66" t="n"/>
      <c r="CH39" s="66" t="n"/>
      <c r="CI39" s="66" t="n"/>
      <c r="CJ39" s="66" t="n"/>
      <c r="CK39" s="66" t="n"/>
      <c r="CL39" s="66" t="n"/>
      <c r="CM39" s="66" t="n"/>
    </row>
    <row r="40">
      <c r="A40" s="1" t="n"/>
      <c r="B40" s="59" t="inlineStr">
        <is>
          <t>4.5</t>
        </is>
      </c>
      <c r="C40" s="60" t="inlineStr">
        <is>
          <t>P4 設立後の届出(税務・社保・労保)</t>
        </is>
      </c>
      <c r="D40" s="61" t="inlineStr">
        <is>
          <t>労基署・ハローワークへの届出(雇用時)</t>
        </is>
      </c>
      <c r="E40" s="61" t="inlineStr">
        <is>
          <t>労働保険の保険関係成立届・雇用保険適用事業所設置届等［担当: labor-management／士業］［依存: 3.5］</t>
        </is>
      </c>
      <c r="F40" s="62" t="n"/>
      <c r="G40" s="60" t="inlineStr">
        <is>
          <t>届出控え</t>
        </is>
      </c>
      <c r="H40" s="63" t="n">
        <v>46392</v>
      </c>
      <c r="I40" s="63" t="n">
        <v>46398</v>
      </c>
      <c r="J40" s="64">
        <f>IF(AND(H40&lt;&gt;"",I40&lt;&gt;""),DAYS(I40,H40)+1,"")</f>
        <v/>
      </c>
      <c r="K40" s="65" t="n">
        <v>0</v>
      </c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  <c r="AO40" s="66" t="n"/>
      <c r="AP40" s="66" t="n"/>
      <c r="AQ40" s="66" t="n"/>
      <c r="AR40" s="66" t="n"/>
      <c r="AS40" s="66" t="n"/>
      <c r="AT40" s="66" t="n"/>
      <c r="AU40" s="66" t="n"/>
      <c r="AV40" s="66" t="n"/>
      <c r="AW40" s="66" t="n"/>
      <c r="AX40" s="66" t="n"/>
      <c r="AY40" s="66" t="n"/>
      <c r="AZ40" s="66" t="n"/>
      <c r="BA40" s="66" t="n"/>
      <c r="BB40" s="66" t="n"/>
      <c r="BC40" s="66" t="n"/>
      <c r="BD40" s="66" t="n"/>
      <c r="BE40" s="66" t="n"/>
      <c r="BF40" s="66" t="n"/>
      <c r="BG40" s="66" t="n"/>
      <c r="BH40" s="66" t="n"/>
      <c r="BI40" s="66" t="n"/>
      <c r="BJ40" s="66" t="n"/>
      <c r="BK40" s="66" t="n"/>
      <c r="BL40" s="66" t="n"/>
      <c r="BM40" s="66" t="n"/>
      <c r="BN40" s="66" t="n"/>
      <c r="BO40" s="66" t="n"/>
      <c r="BP40" s="66" t="n"/>
      <c r="BQ40" s="66" t="n"/>
      <c r="BR40" s="66" t="n"/>
      <c r="BS40" s="66" t="n"/>
      <c r="BT40" s="66" t="n"/>
      <c r="BU40" s="66" t="n"/>
      <c r="BV40" s="66" t="n"/>
      <c r="BW40" s="66" t="n"/>
      <c r="BX40" s="66" t="n"/>
      <c r="BY40" s="66" t="n"/>
      <c r="BZ40" s="66" t="n"/>
      <c r="CA40" s="66" t="n"/>
      <c r="CB40" s="66" t="n"/>
      <c r="CC40" s="66" t="n"/>
      <c r="CD40" s="66" t="n"/>
      <c r="CE40" s="66" t="n"/>
      <c r="CF40" s="66" t="n"/>
      <c r="CG40" s="66" t="n"/>
      <c r="CH40" s="66" t="n"/>
      <c r="CI40" s="66" t="n"/>
      <c r="CJ40" s="66" t="n"/>
      <c r="CK40" s="66" t="n"/>
      <c r="CL40" s="66" t="n"/>
      <c r="CM40" s="66" t="n"/>
    </row>
    <row r="41">
      <c r="A41" s="1" t="n"/>
      <c r="B41" s="59" t="inlineStr">
        <is>
          <t>4.6</t>
        </is>
      </c>
      <c r="C41" s="60" t="inlineStr">
        <is>
          <t>P4 設立後の届出(税務・社保・労保)</t>
        </is>
      </c>
      <c r="D41" s="61" t="inlineStr">
        <is>
          <t>インボイス登録・消費税の課税/免税判断</t>
        </is>
      </c>
      <c r="E41" s="61" t="inlineStr">
        <is>
          <t>取引先の要件と事業計画を踏まえ課税事業者の要否を判断する［担当: incorporation-legal／士業］［依存: 3.5］</t>
        </is>
      </c>
      <c r="F41" s="62" t="n"/>
      <c r="G41" s="60" t="inlineStr">
        <is>
          <t>判断記録</t>
        </is>
      </c>
      <c r="H41" s="63" t="n">
        <v>46392</v>
      </c>
      <c r="I41" s="63" t="n">
        <v>46394</v>
      </c>
      <c r="J41" s="64">
        <f>IF(AND(H41&lt;&gt;"",I41&lt;&gt;""),DAYS(I41,H41)+1,"")</f>
        <v/>
      </c>
      <c r="K41" s="65" t="n">
        <v>0</v>
      </c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  <c r="AO41" s="66" t="n"/>
      <c r="AP41" s="66" t="n"/>
      <c r="AQ41" s="66" t="n"/>
      <c r="AR41" s="66" t="n"/>
      <c r="AS41" s="66" t="n"/>
      <c r="AT41" s="66" t="n"/>
      <c r="AU41" s="66" t="n"/>
      <c r="AV41" s="66" t="n"/>
      <c r="AW41" s="66" t="n"/>
      <c r="AX41" s="66" t="n"/>
      <c r="AY41" s="66" t="n"/>
      <c r="AZ41" s="66" t="n"/>
      <c r="BA41" s="66" t="n"/>
      <c r="BB41" s="66" t="n"/>
      <c r="BC41" s="66" t="n"/>
      <c r="BD41" s="66" t="n"/>
      <c r="BE41" s="66" t="n"/>
      <c r="BF41" s="66" t="n"/>
      <c r="BG41" s="66" t="n"/>
      <c r="BH41" s="66" t="n"/>
      <c r="BI41" s="66" t="n"/>
      <c r="BJ41" s="66" t="n"/>
      <c r="BK41" s="66" t="n"/>
      <c r="BL41" s="66" t="n"/>
      <c r="BM41" s="66" t="n"/>
      <c r="BN41" s="66" t="n"/>
      <c r="BO41" s="66" t="n"/>
      <c r="BP41" s="66" t="n"/>
      <c r="BQ41" s="66" t="n"/>
      <c r="BR41" s="66" t="n"/>
      <c r="BS41" s="66" t="n"/>
      <c r="BT41" s="66" t="n"/>
      <c r="BU41" s="66" t="n"/>
      <c r="BV41" s="66" t="n"/>
      <c r="BW41" s="66" t="n"/>
      <c r="BX41" s="66" t="n"/>
      <c r="BY41" s="66" t="n"/>
      <c r="BZ41" s="66" t="n"/>
      <c r="CA41" s="66" t="n"/>
      <c r="CB41" s="66" t="n"/>
      <c r="CC41" s="66" t="n"/>
      <c r="CD41" s="66" t="n"/>
      <c r="CE41" s="66" t="n"/>
      <c r="CF41" s="66" t="n"/>
      <c r="CG41" s="66" t="n"/>
      <c r="CH41" s="66" t="n"/>
      <c r="CI41" s="66" t="n"/>
      <c r="CJ41" s="66" t="n"/>
      <c r="CK41" s="66" t="n"/>
      <c r="CL41" s="66" t="n"/>
      <c r="CM41" s="66" t="n"/>
    </row>
    <row r="42">
      <c r="A42" s="1" t="n"/>
      <c r="B42" s="53" t="inlineStr">
        <is>
          <t>5</t>
        </is>
      </c>
      <c r="C42" s="54" t="inlineStr">
        <is>
          <t>P5 バックオフィス構築</t>
        </is>
      </c>
      <c r="D42" s="54" t="n"/>
      <c r="E42" s="54" t="inlineStr">
        <is>
          <t>口座・会計・請求・労務・契約・規程を整え、業務自動化の方針を決める</t>
        </is>
      </c>
      <c r="F42" s="54" t="n"/>
      <c r="G42" s="54" t="n"/>
      <c r="H42" s="55" t="n"/>
      <c r="I42" s="55" t="n"/>
      <c r="J42" s="56" t="n"/>
      <c r="K42" s="57" t="n"/>
      <c r="L42" s="58" t="n"/>
      <c r="M42" s="58" t="n"/>
      <c r="N42" s="58" t="n"/>
      <c r="O42" s="58" t="n"/>
      <c r="P42" s="58" t="n"/>
      <c r="Q42" s="58" t="n"/>
      <c r="R42" s="58" t="n"/>
      <c r="S42" s="58" t="n"/>
      <c r="T42" s="58" t="n"/>
      <c r="U42" s="58" t="n"/>
      <c r="V42" s="58" t="n"/>
      <c r="W42" s="58" t="n"/>
      <c r="X42" s="58" t="n"/>
      <c r="Y42" s="58" t="n"/>
      <c r="Z42" s="58" t="n"/>
      <c r="AA42" s="58" t="n"/>
      <c r="AB42" s="58" t="n"/>
      <c r="AC42" s="58" t="n"/>
      <c r="AD42" s="58" t="n"/>
      <c r="AE42" s="58" t="n"/>
      <c r="AF42" s="58" t="n"/>
      <c r="AG42" s="58" t="n"/>
      <c r="AH42" s="58" t="n"/>
      <c r="AI42" s="58" t="n"/>
      <c r="AJ42" s="58" t="n"/>
      <c r="AK42" s="58" t="n"/>
      <c r="AL42" s="58" t="n"/>
      <c r="AM42" s="58" t="n"/>
      <c r="AN42" s="58" t="n"/>
      <c r="AO42" s="58" t="n"/>
      <c r="AP42" s="58" t="n"/>
      <c r="AQ42" s="58" t="n"/>
      <c r="AR42" s="58" t="n"/>
      <c r="AS42" s="58" t="n"/>
      <c r="AT42" s="58" t="n"/>
      <c r="AU42" s="58" t="n"/>
      <c r="AV42" s="58" t="n"/>
      <c r="AW42" s="58" t="n"/>
      <c r="AX42" s="58" t="n"/>
      <c r="AY42" s="58" t="n"/>
      <c r="AZ42" s="58" t="n"/>
      <c r="BA42" s="58" t="n"/>
      <c r="BB42" s="58" t="n"/>
      <c r="BC42" s="58" t="n"/>
      <c r="BD42" s="58" t="n"/>
      <c r="BE42" s="58" t="n"/>
      <c r="BF42" s="58" t="n"/>
      <c r="BG42" s="58" t="n"/>
      <c r="BH42" s="58" t="n"/>
      <c r="BI42" s="58" t="n"/>
      <c r="BJ42" s="58" t="n"/>
      <c r="BK42" s="58" t="n"/>
      <c r="BL42" s="58" t="n"/>
      <c r="BM42" s="58" t="n"/>
      <c r="BN42" s="58" t="n"/>
      <c r="BO42" s="58" t="n"/>
      <c r="BP42" s="58" t="n"/>
      <c r="BQ42" s="58" t="n"/>
      <c r="BR42" s="58" t="n"/>
      <c r="BS42" s="58" t="n"/>
      <c r="BT42" s="58" t="n"/>
      <c r="BU42" s="58" t="n"/>
      <c r="BV42" s="58" t="n"/>
      <c r="BW42" s="58" t="n"/>
      <c r="BX42" s="58" t="n"/>
      <c r="BY42" s="58" t="n"/>
      <c r="BZ42" s="58" t="n"/>
      <c r="CA42" s="58" t="n"/>
      <c r="CB42" s="58" t="n"/>
      <c r="CC42" s="58" t="n"/>
      <c r="CD42" s="58" t="n"/>
      <c r="CE42" s="58" t="n"/>
      <c r="CF42" s="58" t="n"/>
      <c r="CG42" s="58" t="n"/>
      <c r="CH42" s="58" t="n"/>
      <c r="CI42" s="58" t="n"/>
      <c r="CJ42" s="58" t="n"/>
      <c r="CK42" s="58" t="n"/>
      <c r="CL42" s="58" t="n"/>
      <c r="CM42" s="58" t="n"/>
    </row>
    <row r="43">
      <c r="A43" s="1" t="n"/>
      <c r="B43" s="59" t="inlineStr">
        <is>
          <t>5.1</t>
        </is>
      </c>
      <c r="C43" s="60" t="inlineStr">
        <is>
          <t>P5 バックオフィス構築</t>
        </is>
      </c>
      <c r="D43" s="61" t="inlineStr">
        <is>
          <t>法人口座の開設</t>
        </is>
      </c>
      <c r="E43" s="61" t="inlineStr">
        <is>
          <t>ネット銀行/メガバンク/地銀を比較し開設する(審査に日数を要する)［担当: 人間／人間］［依存: 3.5］</t>
        </is>
      </c>
      <c r="F43" s="62" t="n"/>
      <c r="G43" s="60" t="inlineStr">
        <is>
          <t>法人口座</t>
        </is>
      </c>
      <c r="H43" s="63" t="n">
        <v>46392</v>
      </c>
      <c r="I43" s="63" t="n">
        <v>46405</v>
      </c>
      <c r="J43" s="64">
        <f>IF(AND(H43&lt;&gt;"",I43&lt;&gt;""),DAYS(I43,H43)+1,"")</f>
        <v/>
      </c>
      <c r="K43" s="65" t="n">
        <v>0</v>
      </c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  <c r="AO43" s="66" t="n"/>
      <c r="AP43" s="66" t="n"/>
      <c r="AQ43" s="66" t="n"/>
      <c r="AR43" s="66" t="n"/>
      <c r="AS43" s="66" t="n"/>
      <c r="AT43" s="66" t="n"/>
      <c r="AU43" s="66" t="n"/>
      <c r="AV43" s="66" t="n"/>
      <c r="AW43" s="66" t="n"/>
      <c r="AX43" s="66" t="n"/>
      <c r="AY43" s="66" t="n"/>
      <c r="AZ43" s="66" t="n"/>
      <c r="BA43" s="66" t="n"/>
      <c r="BB43" s="66" t="n"/>
      <c r="BC43" s="66" t="n"/>
      <c r="BD43" s="66" t="n"/>
      <c r="BE43" s="66" t="n"/>
      <c r="BF43" s="66" t="n"/>
      <c r="BG43" s="66" t="n"/>
      <c r="BH43" s="66" t="n"/>
      <c r="BI43" s="66" t="n"/>
      <c r="BJ43" s="66" t="n"/>
      <c r="BK43" s="66" t="n"/>
      <c r="BL43" s="66" t="n"/>
      <c r="BM43" s="66" t="n"/>
      <c r="BN43" s="66" t="n"/>
      <c r="BO43" s="66" t="n"/>
      <c r="BP43" s="66" t="n"/>
      <c r="BQ43" s="66" t="n"/>
      <c r="BR43" s="66" t="n"/>
      <c r="BS43" s="66" t="n"/>
      <c r="BT43" s="66" t="n"/>
      <c r="BU43" s="66" t="n"/>
      <c r="BV43" s="66" t="n"/>
      <c r="BW43" s="66" t="n"/>
      <c r="BX43" s="66" t="n"/>
      <c r="BY43" s="66" t="n"/>
      <c r="BZ43" s="66" t="n"/>
      <c r="CA43" s="66" t="n"/>
      <c r="CB43" s="66" t="n"/>
      <c r="CC43" s="66" t="n"/>
      <c r="CD43" s="66" t="n"/>
      <c r="CE43" s="66" t="n"/>
      <c r="CF43" s="66" t="n"/>
      <c r="CG43" s="66" t="n"/>
      <c r="CH43" s="66" t="n"/>
      <c r="CI43" s="66" t="n"/>
      <c r="CJ43" s="66" t="n"/>
      <c r="CK43" s="66" t="n"/>
      <c r="CL43" s="66" t="n"/>
      <c r="CM43" s="66" t="n"/>
    </row>
    <row r="44">
      <c r="A44" s="1" t="n"/>
      <c r="B44" s="59" t="inlineStr">
        <is>
          <t>5.2</t>
        </is>
      </c>
      <c r="C44" s="60" t="inlineStr">
        <is>
          <t>P5 バックオフィス構築</t>
        </is>
      </c>
      <c r="D44" s="61" t="inlineStr">
        <is>
          <t>会計・請求・経費精算ツールの選定と導入</t>
        </is>
      </c>
      <c r="E44" s="61" t="inlineStr">
        <is>
          <t>会計・請求書・経費精算・支払の各ツールを比較し導入する(バクラク等も候補)［担当: business-launch / back-office-design／協働］［依存: 1.5］</t>
        </is>
      </c>
      <c r="F44" s="62" t="n"/>
      <c r="G44" s="60" t="inlineStr">
        <is>
          <t>tool-stack-proposal.md</t>
        </is>
      </c>
      <c r="H44" s="63" t="n">
        <v>46357</v>
      </c>
      <c r="I44" s="63" t="n">
        <v>46363</v>
      </c>
      <c r="J44" s="64">
        <f>IF(AND(H44&lt;&gt;"",I44&lt;&gt;""),DAYS(I44,H44)+1,"")</f>
        <v/>
      </c>
      <c r="K44" s="65" t="n">
        <v>0</v>
      </c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  <c r="AO44" s="66" t="n"/>
      <c r="AP44" s="66" t="n"/>
      <c r="AQ44" s="66" t="n"/>
      <c r="AR44" s="66" t="n"/>
      <c r="AS44" s="66" t="n"/>
      <c r="AT44" s="66" t="n"/>
      <c r="AU44" s="66" t="n"/>
      <c r="AV44" s="66" t="n"/>
      <c r="AW44" s="66" t="n"/>
      <c r="AX44" s="66" t="n"/>
      <c r="AY44" s="66" t="n"/>
      <c r="AZ44" s="66" t="n"/>
      <c r="BA44" s="66" t="n"/>
      <c r="BB44" s="66" t="n"/>
      <c r="BC44" s="66" t="n"/>
      <c r="BD44" s="66" t="n"/>
      <c r="BE44" s="66" t="n"/>
      <c r="BF44" s="66" t="n"/>
      <c r="BG44" s="66" t="n"/>
      <c r="BH44" s="66" t="n"/>
      <c r="BI44" s="66" t="n"/>
      <c r="BJ44" s="66" t="n"/>
      <c r="BK44" s="66" t="n"/>
      <c r="BL44" s="66" t="n"/>
      <c r="BM44" s="66" t="n"/>
      <c r="BN44" s="66" t="n"/>
      <c r="BO44" s="66" t="n"/>
      <c r="BP44" s="66" t="n"/>
      <c r="BQ44" s="66" t="n"/>
      <c r="BR44" s="66" t="n"/>
      <c r="BS44" s="66" t="n"/>
      <c r="BT44" s="66" t="n"/>
      <c r="BU44" s="66" t="n"/>
      <c r="BV44" s="66" t="n"/>
      <c r="BW44" s="66" t="n"/>
      <c r="BX44" s="66" t="n"/>
      <c r="BY44" s="66" t="n"/>
      <c r="BZ44" s="66" t="n"/>
      <c r="CA44" s="66" t="n"/>
      <c r="CB44" s="66" t="n"/>
      <c r="CC44" s="66" t="n"/>
      <c r="CD44" s="66" t="n"/>
      <c r="CE44" s="66" t="n"/>
      <c r="CF44" s="66" t="n"/>
      <c r="CG44" s="66" t="n"/>
      <c r="CH44" s="66" t="n"/>
      <c r="CI44" s="66" t="n"/>
      <c r="CJ44" s="66" t="n"/>
      <c r="CK44" s="66" t="n"/>
      <c r="CL44" s="66" t="n"/>
      <c r="CM44" s="66" t="n"/>
    </row>
    <row r="45">
      <c r="A45" s="1" t="n"/>
      <c r="B45" s="59" t="inlineStr">
        <is>
          <t>5.3</t>
        </is>
      </c>
      <c r="C45" s="60" t="inlineStr">
        <is>
          <t>P5 バックオフィス構築</t>
        </is>
      </c>
      <c r="D45" s="61" t="inlineStr">
        <is>
          <t>労務・勤怠・給与計算ツールの選定と導入</t>
        </is>
      </c>
      <c r="E45" s="61" t="inlineStr">
        <is>
          <t>労務手続・勤怠・給与計算の運用とツールを決める［担当: business-launch / back-office-design／協働］［依存: 1.5］</t>
        </is>
      </c>
      <c r="F45" s="62" t="n"/>
      <c r="G45" s="60" t="inlineStr">
        <is>
          <t>tool-stack-proposal.md</t>
        </is>
      </c>
      <c r="H45" s="63" t="n">
        <v>46357</v>
      </c>
      <c r="I45" s="63" t="n">
        <v>46363</v>
      </c>
      <c r="J45" s="64">
        <f>IF(AND(H45&lt;&gt;"",I45&lt;&gt;""),DAYS(I45,H45)+1,"")</f>
        <v/>
      </c>
      <c r="K45" s="65" t="n">
        <v>0</v>
      </c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  <c r="AO45" s="66" t="n"/>
      <c r="AP45" s="66" t="n"/>
      <c r="AQ45" s="66" t="n"/>
      <c r="AR45" s="66" t="n"/>
      <c r="AS45" s="66" t="n"/>
      <c r="AT45" s="66" t="n"/>
      <c r="AU45" s="66" t="n"/>
      <c r="AV45" s="66" t="n"/>
      <c r="AW45" s="66" t="n"/>
      <c r="AX45" s="66" t="n"/>
      <c r="AY45" s="66" t="n"/>
      <c r="AZ45" s="66" t="n"/>
      <c r="BA45" s="66" t="n"/>
      <c r="BB45" s="66" t="n"/>
      <c r="BC45" s="66" t="n"/>
      <c r="BD45" s="66" t="n"/>
      <c r="BE45" s="66" t="n"/>
      <c r="BF45" s="66" t="n"/>
      <c r="BG45" s="66" t="n"/>
      <c r="BH45" s="66" t="n"/>
      <c r="BI45" s="66" t="n"/>
      <c r="BJ45" s="66" t="n"/>
      <c r="BK45" s="66" t="n"/>
      <c r="BL45" s="66" t="n"/>
      <c r="BM45" s="66" t="n"/>
      <c r="BN45" s="66" t="n"/>
      <c r="BO45" s="66" t="n"/>
      <c r="BP45" s="66" t="n"/>
      <c r="BQ45" s="66" t="n"/>
      <c r="BR45" s="66" t="n"/>
      <c r="BS45" s="66" t="n"/>
      <c r="BT45" s="66" t="n"/>
      <c r="BU45" s="66" t="n"/>
      <c r="BV45" s="66" t="n"/>
      <c r="BW45" s="66" t="n"/>
      <c r="BX45" s="66" t="n"/>
      <c r="BY45" s="66" t="n"/>
      <c r="BZ45" s="66" t="n"/>
      <c r="CA45" s="66" t="n"/>
      <c r="CB45" s="66" t="n"/>
      <c r="CC45" s="66" t="n"/>
      <c r="CD45" s="66" t="n"/>
      <c r="CE45" s="66" t="n"/>
      <c r="CF45" s="66" t="n"/>
      <c r="CG45" s="66" t="n"/>
      <c r="CH45" s="66" t="n"/>
      <c r="CI45" s="66" t="n"/>
      <c r="CJ45" s="66" t="n"/>
      <c r="CK45" s="66" t="n"/>
      <c r="CL45" s="66" t="n"/>
      <c r="CM45" s="66" t="n"/>
    </row>
    <row r="46">
      <c r="A46" s="1" t="n"/>
      <c r="B46" s="59" t="inlineStr">
        <is>
          <t>5.4</t>
        </is>
      </c>
      <c r="C46" s="60" t="inlineStr">
        <is>
          <t>P5 バックオフィス構築</t>
        </is>
      </c>
      <c r="D46" s="61" t="inlineStr">
        <is>
          <t>契約・電子署名・書類保管ルール</t>
        </is>
      </c>
      <c r="E46" s="61" t="inlineStr">
        <is>
          <t>契約書雛形・電子署名・保管/保存期間のルールを決める［担当: back-office-design／協働］［依存: 1.5］</t>
        </is>
      </c>
      <c r="F46" s="62" t="n"/>
      <c r="G46" s="60" t="inlineStr">
        <is>
          <t>契約管理ルール</t>
        </is>
      </c>
      <c r="H46" s="63" t="n">
        <v>46357</v>
      </c>
      <c r="I46" s="63" t="n">
        <v>46359</v>
      </c>
      <c r="J46" s="64">
        <f>IF(AND(H46&lt;&gt;"",I46&lt;&gt;""),DAYS(I46,H46)+1,"")</f>
        <v/>
      </c>
      <c r="K46" s="65" t="n">
        <v>0</v>
      </c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  <c r="AO46" s="66" t="n"/>
      <c r="AP46" s="66" t="n"/>
      <c r="AQ46" s="66" t="n"/>
      <c r="AR46" s="66" t="n"/>
      <c r="AS46" s="66" t="n"/>
      <c r="AT46" s="66" t="n"/>
      <c r="AU46" s="66" t="n"/>
      <c r="AV46" s="66" t="n"/>
      <c r="AW46" s="66" t="n"/>
      <c r="AX46" s="66" t="n"/>
      <c r="AY46" s="66" t="n"/>
      <c r="AZ46" s="66" t="n"/>
      <c r="BA46" s="66" t="n"/>
      <c r="BB46" s="66" t="n"/>
      <c r="BC46" s="66" t="n"/>
      <c r="BD46" s="66" t="n"/>
      <c r="BE46" s="66" t="n"/>
      <c r="BF46" s="66" t="n"/>
      <c r="BG46" s="66" t="n"/>
      <c r="BH46" s="66" t="n"/>
      <c r="BI46" s="66" t="n"/>
      <c r="BJ46" s="66" t="n"/>
      <c r="BK46" s="66" t="n"/>
      <c r="BL46" s="66" t="n"/>
      <c r="BM46" s="66" t="n"/>
      <c r="BN46" s="66" t="n"/>
      <c r="BO46" s="66" t="n"/>
      <c r="BP46" s="66" t="n"/>
      <c r="BQ46" s="66" t="n"/>
      <c r="BR46" s="66" t="n"/>
      <c r="BS46" s="66" t="n"/>
      <c r="BT46" s="66" t="n"/>
      <c r="BU46" s="66" t="n"/>
      <c r="BV46" s="66" t="n"/>
      <c r="BW46" s="66" t="n"/>
      <c r="BX46" s="66" t="n"/>
      <c r="BY46" s="66" t="n"/>
      <c r="BZ46" s="66" t="n"/>
      <c r="CA46" s="66" t="n"/>
      <c r="CB46" s="66" t="n"/>
      <c r="CC46" s="66" t="n"/>
      <c r="CD46" s="66" t="n"/>
      <c r="CE46" s="66" t="n"/>
      <c r="CF46" s="66" t="n"/>
      <c r="CG46" s="66" t="n"/>
      <c r="CH46" s="66" t="n"/>
      <c r="CI46" s="66" t="n"/>
      <c r="CJ46" s="66" t="n"/>
      <c r="CK46" s="66" t="n"/>
      <c r="CL46" s="66" t="n"/>
      <c r="CM46" s="66" t="n"/>
    </row>
    <row r="47">
      <c r="A47" s="1" t="n"/>
      <c r="B47" s="59" t="inlineStr">
        <is>
          <t>5.5</t>
        </is>
      </c>
      <c r="C47" s="60" t="inlineStr">
        <is>
          <t>P5 バックオフィス構築</t>
        </is>
      </c>
      <c r="D47" s="61" t="inlineStr">
        <is>
          <t>規程類の整備</t>
        </is>
      </c>
      <c r="E47" s="61" t="inlineStr">
        <is>
          <t>経費規程・承認フロー・(必要時)就業規則を整える［担当: labor-management／士業］［依存: 5.3］</t>
        </is>
      </c>
      <c r="F47" s="62" t="n"/>
      <c r="G47" s="60" t="inlineStr">
        <is>
          <t>規程一式</t>
        </is>
      </c>
      <c r="H47" s="63" t="n">
        <v>46364</v>
      </c>
      <c r="I47" s="63" t="n">
        <v>46370</v>
      </c>
      <c r="J47" s="64">
        <f>IF(AND(H47&lt;&gt;"",I47&lt;&gt;""),DAYS(I47,H47)+1,"")</f>
        <v/>
      </c>
      <c r="K47" s="65" t="n">
        <v>0</v>
      </c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  <c r="AO47" s="66" t="n"/>
      <c r="AP47" s="66" t="n"/>
      <c r="AQ47" s="66" t="n"/>
      <c r="AR47" s="66" t="n"/>
      <c r="AS47" s="66" t="n"/>
      <c r="AT47" s="66" t="n"/>
      <c r="AU47" s="66" t="n"/>
      <c r="AV47" s="66" t="n"/>
      <c r="AW47" s="66" t="n"/>
      <c r="AX47" s="66" t="n"/>
      <c r="AY47" s="66" t="n"/>
      <c r="AZ47" s="66" t="n"/>
      <c r="BA47" s="66" t="n"/>
      <c r="BB47" s="66" t="n"/>
      <c r="BC47" s="66" t="n"/>
      <c r="BD47" s="66" t="n"/>
      <c r="BE47" s="66" t="n"/>
      <c r="BF47" s="66" t="n"/>
      <c r="BG47" s="66" t="n"/>
      <c r="BH47" s="66" t="n"/>
      <c r="BI47" s="66" t="n"/>
      <c r="BJ47" s="66" t="n"/>
      <c r="BK47" s="66" t="n"/>
      <c r="BL47" s="66" t="n"/>
      <c r="BM47" s="66" t="n"/>
      <c r="BN47" s="66" t="n"/>
      <c r="BO47" s="66" t="n"/>
      <c r="BP47" s="66" t="n"/>
      <c r="BQ47" s="66" t="n"/>
      <c r="BR47" s="66" t="n"/>
      <c r="BS47" s="66" t="n"/>
      <c r="BT47" s="66" t="n"/>
      <c r="BU47" s="66" t="n"/>
      <c r="BV47" s="66" t="n"/>
      <c r="BW47" s="66" t="n"/>
      <c r="BX47" s="66" t="n"/>
      <c r="BY47" s="66" t="n"/>
      <c r="BZ47" s="66" t="n"/>
      <c r="CA47" s="66" t="n"/>
      <c r="CB47" s="66" t="n"/>
      <c r="CC47" s="66" t="n"/>
      <c r="CD47" s="66" t="n"/>
      <c r="CE47" s="66" t="n"/>
      <c r="CF47" s="66" t="n"/>
      <c r="CG47" s="66" t="n"/>
      <c r="CH47" s="66" t="n"/>
      <c r="CI47" s="66" t="n"/>
      <c r="CJ47" s="66" t="n"/>
      <c r="CK47" s="66" t="n"/>
      <c r="CL47" s="66" t="n"/>
      <c r="CM47" s="66" t="n"/>
    </row>
    <row r="48">
      <c r="A48" s="1" t="n"/>
      <c r="B48" s="59" t="inlineStr">
        <is>
          <t>5.6</t>
        </is>
      </c>
      <c r="C48" s="60" t="inlineStr">
        <is>
          <t>P5 バックオフィス構築</t>
        </is>
      </c>
      <c r="D48" s="61" t="inlineStr">
        <is>
          <t>労働条件通知書・雇用契約テンプレート</t>
        </is>
      </c>
      <c r="E48" s="61" t="inlineStr">
        <is>
          <t>雇用形態別の書面・36協定(残業がある場合)を整える［担当: labor-management／士業］［依存: 5.5］</t>
        </is>
      </c>
      <c r="F48" s="62" t="n"/>
      <c r="G48" s="60" t="inlineStr">
        <is>
          <t>雇用書面一式</t>
        </is>
      </c>
      <c r="H48" s="63" t="n">
        <v>46371</v>
      </c>
      <c r="I48" s="63" t="n">
        <v>46377</v>
      </c>
      <c r="J48" s="64">
        <f>IF(AND(H48&lt;&gt;"",I48&lt;&gt;""),DAYS(I48,H48)+1,"")</f>
        <v/>
      </c>
      <c r="K48" s="65" t="n">
        <v>0</v>
      </c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  <c r="AO48" s="66" t="n"/>
      <c r="AP48" s="66" t="n"/>
      <c r="AQ48" s="66" t="n"/>
      <c r="AR48" s="66" t="n"/>
      <c r="AS48" s="66" t="n"/>
      <c r="AT48" s="66" t="n"/>
      <c r="AU48" s="66" t="n"/>
      <c r="AV48" s="66" t="n"/>
      <c r="AW48" s="66" t="n"/>
      <c r="AX48" s="66" t="n"/>
      <c r="AY48" s="66" t="n"/>
      <c r="AZ48" s="66" t="n"/>
      <c r="BA48" s="66" t="n"/>
      <c r="BB48" s="66" t="n"/>
      <c r="BC48" s="66" t="n"/>
      <c r="BD48" s="66" t="n"/>
      <c r="BE48" s="66" t="n"/>
      <c r="BF48" s="66" t="n"/>
      <c r="BG48" s="66" t="n"/>
      <c r="BH48" s="66" t="n"/>
      <c r="BI48" s="66" t="n"/>
      <c r="BJ48" s="66" t="n"/>
      <c r="BK48" s="66" t="n"/>
      <c r="BL48" s="66" t="n"/>
      <c r="BM48" s="66" t="n"/>
      <c r="BN48" s="66" t="n"/>
      <c r="BO48" s="66" t="n"/>
      <c r="BP48" s="66" t="n"/>
      <c r="BQ48" s="66" t="n"/>
      <c r="BR48" s="66" t="n"/>
      <c r="BS48" s="66" t="n"/>
      <c r="BT48" s="66" t="n"/>
      <c r="BU48" s="66" t="n"/>
      <c r="BV48" s="66" t="n"/>
      <c r="BW48" s="66" t="n"/>
      <c r="BX48" s="66" t="n"/>
      <c r="BY48" s="66" t="n"/>
      <c r="BZ48" s="66" t="n"/>
      <c r="CA48" s="66" t="n"/>
      <c r="CB48" s="66" t="n"/>
      <c r="CC48" s="66" t="n"/>
      <c r="CD48" s="66" t="n"/>
      <c r="CE48" s="66" t="n"/>
      <c r="CF48" s="66" t="n"/>
      <c r="CG48" s="66" t="n"/>
      <c r="CH48" s="66" t="n"/>
      <c r="CI48" s="66" t="n"/>
      <c r="CJ48" s="66" t="n"/>
      <c r="CK48" s="66" t="n"/>
      <c r="CL48" s="66" t="n"/>
      <c r="CM48" s="66" t="n"/>
    </row>
    <row r="49">
      <c r="A49" s="1" t="n"/>
      <c r="B49" s="59" t="inlineStr">
        <is>
          <t>5.7</t>
        </is>
      </c>
      <c r="C49" s="60" t="inlineStr">
        <is>
          <t>P5 バックオフィス構築</t>
        </is>
      </c>
      <c r="D49" s="61" t="inlineStr">
        <is>
          <t>AIエージェント業務自動化一覧の作成</t>
        </is>
      </c>
      <c r="E49" s="61" t="inlineStr">
        <is>
          <t>バックオフィス・マーケ業務を自動化レベル別に一覧化する［担当: business-launch / back-office-design／協働］［依存: 5.2］</t>
        </is>
      </c>
      <c r="F49" s="62" t="n"/>
      <c r="G49" s="60" t="inlineStr">
        <is>
          <t>tool-stack-proposal.md §3</t>
        </is>
      </c>
      <c r="H49" s="63" t="n">
        <v>46364</v>
      </c>
      <c r="I49" s="63" t="n">
        <v>46366</v>
      </c>
      <c r="J49" s="64">
        <f>IF(AND(H49&lt;&gt;"",I49&lt;&gt;""),DAYS(I49,H49)+1,"")</f>
        <v/>
      </c>
      <c r="K49" s="65" t="n">
        <v>0</v>
      </c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  <c r="AO49" s="66" t="n"/>
      <c r="AP49" s="66" t="n"/>
      <c r="AQ49" s="66" t="n"/>
      <c r="AR49" s="66" t="n"/>
      <c r="AS49" s="66" t="n"/>
      <c r="AT49" s="66" t="n"/>
      <c r="AU49" s="66" t="n"/>
      <c r="AV49" s="66" t="n"/>
      <c r="AW49" s="66" t="n"/>
      <c r="AX49" s="66" t="n"/>
      <c r="AY49" s="66" t="n"/>
      <c r="AZ49" s="66" t="n"/>
      <c r="BA49" s="66" t="n"/>
      <c r="BB49" s="66" t="n"/>
      <c r="BC49" s="66" t="n"/>
      <c r="BD49" s="66" t="n"/>
      <c r="BE49" s="66" t="n"/>
      <c r="BF49" s="66" t="n"/>
      <c r="BG49" s="66" t="n"/>
      <c r="BH49" s="66" t="n"/>
      <c r="BI49" s="66" t="n"/>
      <c r="BJ49" s="66" t="n"/>
      <c r="BK49" s="66" t="n"/>
      <c r="BL49" s="66" t="n"/>
      <c r="BM49" s="66" t="n"/>
      <c r="BN49" s="66" t="n"/>
      <c r="BO49" s="66" t="n"/>
      <c r="BP49" s="66" t="n"/>
      <c r="BQ49" s="66" t="n"/>
      <c r="BR49" s="66" t="n"/>
      <c r="BS49" s="66" t="n"/>
      <c r="BT49" s="66" t="n"/>
      <c r="BU49" s="66" t="n"/>
      <c r="BV49" s="66" t="n"/>
      <c r="BW49" s="66" t="n"/>
      <c r="BX49" s="66" t="n"/>
      <c r="BY49" s="66" t="n"/>
      <c r="BZ49" s="66" t="n"/>
      <c r="CA49" s="66" t="n"/>
      <c r="CB49" s="66" t="n"/>
      <c r="CC49" s="66" t="n"/>
      <c r="CD49" s="66" t="n"/>
      <c r="CE49" s="66" t="n"/>
      <c r="CF49" s="66" t="n"/>
      <c r="CG49" s="66" t="n"/>
      <c r="CH49" s="66" t="n"/>
      <c r="CI49" s="66" t="n"/>
      <c r="CJ49" s="66" t="n"/>
      <c r="CK49" s="66" t="n"/>
      <c r="CL49" s="66" t="n"/>
      <c r="CM49" s="66" t="n"/>
    </row>
    <row r="50">
      <c r="A50" s="1" t="n"/>
      <c r="B50" s="53" t="inlineStr">
        <is>
          <t>6</t>
        </is>
      </c>
      <c r="C50" s="54" t="inlineStr">
        <is>
          <t>P6 補助金・助成金・融資</t>
        </is>
      </c>
      <c r="D50" s="54" t="n"/>
      <c r="E50" s="54" t="inlineStr">
        <is>
          <t>国・地域の制度を一次情報で収集し、適合度評価と申請カレンダーまで作る</t>
        </is>
      </c>
      <c r="F50" s="54" t="n"/>
      <c r="G50" s="54" t="n"/>
      <c r="H50" s="55" t="n"/>
      <c r="I50" s="55" t="n"/>
      <c r="J50" s="56" t="n"/>
      <c r="K50" s="57" t="n"/>
      <c r="L50" s="58" t="n"/>
      <c r="M50" s="58" t="n"/>
      <c r="N50" s="58" t="n"/>
      <c r="O50" s="58" t="n"/>
      <c r="P50" s="58" t="n"/>
      <c r="Q50" s="58" t="n"/>
      <c r="R50" s="58" t="n"/>
      <c r="S50" s="58" t="n"/>
      <c r="T50" s="58" t="n"/>
      <c r="U50" s="58" t="n"/>
      <c r="V50" s="58" t="n"/>
      <c r="W50" s="58" t="n"/>
      <c r="X50" s="58" t="n"/>
      <c r="Y50" s="58" t="n"/>
      <c r="Z50" s="58" t="n"/>
      <c r="AA50" s="58" t="n"/>
      <c r="AB50" s="58" t="n"/>
      <c r="AC50" s="58" t="n"/>
      <c r="AD50" s="58" t="n"/>
      <c r="AE50" s="58" t="n"/>
      <c r="AF50" s="58" t="n"/>
      <c r="AG50" s="58" t="n"/>
      <c r="AH50" s="58" t="n"/>
      <c r="AI50" s="58" t="n"/>
      <c r="AJ50" s="58" t="n"/>
      <c r="AK50" s="58" t="n"/>
      <c r="AL50" s="58" t="n"/>
      <c r="AM50" s="58" t="n"/>
      <c r="AN50" s="58" t="n"/>
      <c r="AO50" s="58" t="n"/>
      <c r="AP50" s="58" t="n"/>
      <c r="AQ50" s="58" t="n"/>
      <c r="AR50" s="58" t="n"/>
      <c r="AS50" s="58" t="n"/>
      <c r="AT50" s="58" t="n"/>
      <c r="AU50" s="58" t="n"/>
      <c r="AV50" s="58" t="n"/>
      <c r="AW50" s="58" t="n"/>
      <c r="AX50" s="58" t="n"/>
      <c r="AY50" s="58" t="n"/>
      <c r="AZ50" s="58" t="n"/>
      <c r="BA50" s="58" t="n"/>
      <c r="BB50" s="58" t="n"/>
      <c r="BC50" s="58" t="n"/>
      <c r="BD50" s="58" t="n"/>
      <c r="BE50" s="58" t="n"/>
      <c r="BF50" s="58" t="n"/>
      <c r="BG50" s="58" t="n"/>
      <c r="BH50" s="58" t="n"/>
      <c r="BI50" s="58" t="n"/>
      <c r="BJ50" s="58" t="n"/>
      <c r="BK50" s="58" t="n"/>
      <c r="BL50" s="58" t="n"/>
      <c r="BM50" s="58" t="n"/>
      <c r="BN50" s="58" t="n"/>
      <c r="BO50" s="58" t="n"/>
      <c r="BP50" s="58" t="n"/>
      <c r="BQ50" s="58" t="n"/>
      <c r="BR50" s="58" t="n"/>
      <c r="BS50" s="58" t="n"/>
      <c r="BT50" s="58" t="n"/>
      <c r="BU50" s="58" t="n"/>
      <c r="BV50" s="58" t="n"/>
      <c r="BW50" s="58" t="n"/>
      <c r="BX50" s="58" t="n"/>
      <c r="BY50" s="58" t="n"/>
      <c r="BZ50" s="58" t="n"/>
      <c r="CA50" s="58" t="n"/>
      <c r="CB50" s="58" t="n"/>
      <c r="CC50" s="58" t="n"/>
      <c r="CD50" s="58" t="n"/>
      <c r="CE50" s="58" t="n"/>
      <c r="CF50" s="58" t="n"/>
      <c r="CG50" s="58" t="n"/>
      <c r="CH50" s="58" t="n"/>
      <c r="CI50" s="58" t="n"/>
      <c r="CJ50" s="58" t="n"/>
      <c r="CK50" s="58" t="n"/>
      <c r="CL50" s="58" t="n"/>
      <c r="CM50" s="58" t="n"/>
    </row>
    <row r="51">
      <c r="A51" s="1" t="n"/>
      <c r="B51" s="59" t="inlineStr">
        <is>
          <t>6.1</t>
        </is>
      </c>
      <c r="C51" s="60" t="inlineStr">
        <is>
          <t>P6 補助金・助成金・融資</t>
        </is>
      </c>
      <c r="D51" s="61" t="inlineStr">
        <is>
          <t>補助金・助成金・融資の制度情報収集</t>
        </is>
      </c>
      <c r="E51" s="61" t="inlineStr">
        <is>
          <t>国・都道府県・市区町村・支援機関の制度を一次情報で収集する［担当: business-launch / subsidy-research／AI］［依存: 0.5］</t>
        </is>
      </c>
      <c r="F51" s="62" t="n"/>
      <c r="G51" s="60" t="inlineStr">
        <is>
          <t>subsidy-tracker.csv</t>
        </is>
      </c>
      <c r="H51" s="63" t="n">
        <v>46344</v>
      </c>
      <c r="I51" s="63" t="n">
        <v>46350</v>
      </c>
      <c r="J51" s="64">
        <f>IF(AND(H51&lt;&gt;"",I51&lt;&gt;""),DAYS(I51,H51)+1,"")</f>
        <v/>
      </c>
      <c r="K51" s="65" t="n">
        <v>0</v>
      </c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  <c r="AO51" s="66" t="n"/>
      <c r="AP51" s="66" t="n"/>
      <c r="AQ51" s="66" t="n"/>
      <c r="AR51" s="66" t="n"/>
      <c r="AS51" s="66" t="n"/>
      <c r="AT51" s="66" t="n"/>
      <c r="AU51" s="66" t="n"/>
      <c r="AV51" s="66" t="n"/>
      <c r="AW51" s="66" t="n"/>
      <c r="AX51" s="66" t="n"/>
      <c r="AY51" s="66" t="n"/>
      <c r="AZ51" s="66" t="n"/>
      <c r="BA51" s="66" t="n"/>
      <c r="BB51" s="66" t="n"/>
      <c r="BC51" s="66" t="n"/>
      <c r="BD51" s="66" t="n"/>
      <c r="BE51" s="66" t="n"/>
      <c r="BF51" s="66" t="n"/>
      <c r="BG51" s="66" t="n"/>
      <c r="BH51" s="66" t="n"/>
      <c r="BI51" s="66" t="n"/>
      <c r="BJ51" s="66" t="n"/>
      <c r="BK51" s="66" t="n"/>
      <c r="BL51" s="66" t="n"/>
      <c r="BM51" s="66" t="n"/>
      <c r="BN51" s="66" t="n"/>
      <c r="BO51" s="66" t="n"/>
      <c r="BP51" s="66" t="n"/>
      <c r="BQ51" s="66" t="n"/>
      <c r="BR51" s="66" t="n"/>
      <c r="BS51" s="66" t="n"/>
      <c r="BT51" s="66" t="n"/>
      <c r="BU51" s="66" t="n"/>
      <c r="BV51" s="66" t="n"/>
      <c r="BW51" s="66" t="n"/>
      <c r="BX51" s="66" t="n"/>
      <c r="BY51" s="66" t="n"/>
      <c r="BZ51" s="66" t="n"/>
      <c r="CA51" s="66" t="n"/>
      <c r="CB51" s="66" t="n"/>
      <c r="CC51" s="66" t="n"/>
      <c r="CD51" s="66" t="n"/>
      <c r="CE51" s="66" t="n"/>
      <c r="CF51" s="66" t="n"/>
      <c r="CG51" s="66" t="n"/>
      <c r="CH51" s="66" t="n"/>
      <c r="CI51" s="66" t="n"/>
      <c r="CJ51" s="66" t="n"/>
      <c r="CK51" s="66" t="n"/>
      <c r="CL51" s="66" t="n"/>
      <c r="CM51" s="66" t="n"/>
    </row>
    <row r="52">
      <c r="A52" s="1" t="n"/>
      <c r="B52" s="59" t="inlineStr">
        <is>
          <t>6.2</t>
        </is>
      </c>
      <c r="C52" s="60" t="inlineStr">
        <is>
          <t>P6 補助金・助成金・融資</t>
        </is>
      </c>
      <c r="D52" s="61" t="inlineStr">
        <is>
          <t>適合度スコアリング・申請カレンダー</t>
        </is>
      </c>
      <c r="E52" s="61" t="inlineStr">
        <is>
          <t>要件適合・受給見込・労力で評価し、公募期間と準備期限をカレンダー化する［担当: subsidy-research／AI］［依存: 6.1, 1.4］</t>
        </is>
      </c>
      <c r="F52" s="62" t="n"/>
      <c r="G52" s="60" t="inlineStr">
        <is>
          <t>subsidy-tracker.csv</t>
        </is>
      </c>
      <c r="H52" s="63" t="n">
        <v>46356</v>
      </c>
      <c r="I52" s="63" t="n">
        <v>46358</v>
      </c>
      <c r="J52" s="64">
        <f>IF(AND(H52&lt;&gt;"",I52&lt;&gt;""),DAYS(I52,H52)+1,"")</f>
        <v/>
      </c>
      <c r="K52" s="65" t="n">
        <v>0</v>
      </c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  <c r="AO52" s="66" t="n"/>
      <c r="AP52" s="66" t="n"/>
      <c r="AQ52" s="66" t="n"/>
      <c r="AR52" s="66" t="n"/>
      <c r="AS52" s="66" t="n"/>
      <c r="AT52" s="66" t="n"/>
      <c r="AU52" s="66" t="n"/>
      <c r="AV52" s="66" t="n"/>
      <c r="AW52" s="66" t="n"/>
      <c r="AX52" s="66" t="n"/>
      <c r="AY52" s="66" t="n"/>
      <c r="AZ52" s="66" t="n"/>
      <c r="BA52" s="66" t="n"/>
      <c r="BB52" s="66" t="n"/>
      <c r="BC52" s="66" t="n"/>
      <c r="BD52" s="66" t="n"/>
      <c r="BE52" s="66" t="n"/>
      <c r="BF52" s="66" t="n"/>
      <c r="BG52" s="66" t="n"/>
      <c r="BH52" s="66" t="n"/>
      <c r="BI52" s="66" t="n"/>
      <c r="BJ52" s="66" t="n"/>
      <c r="BK52" s="66" t="n"/>
      <c r="BL52" s="66" t="n"/>
      <c r="BM52" s="66" t="n"/>
      <c r="BN52" s="66" t="n"/>
      <c r="BO52" s="66" t="n"/>
      <c r="BP52" s="66" t="n"/>
      <c r="BQ52" s="66" t="n"/>
      <c r="BR52" s="66" t="n"/>
      <c r="BS52" s="66" t="n"/>
      <c r="BT52" s="66" t="n"/>
      <c r="BU52" s="66" t="n"/>
      <c r="BV52" s="66" t="n"/>
      <c r="BW52" s="66" t="n"/>
      <c r="BX52" s="66" t="n"/>
      <c r="BY52" s="66" t="n"/>
      <c r="BZ52" s="66" t="n"/>
      <c r="CA52" s="66" t="n"/>
      <c r="CB52" s="66" t="n"/>
      <c r="CC52" s="66" t="n"/>
      <c r="CD52" s="66" t="n"/>
      <c r="CE52" s="66" t="n"/>
      <c r="CF52" s="66" t="n"/>
      <c r="CG52" s="66" t="n"/>
      <c r="CH52" s="66" t="n"/>
      <c r="CI52" s="66" t="n"/>
      <c r="CJ52" s="66" t="n"/>
      <c r="CK52" s="66" t="n"/>
      <c r="CL52" s="66" t="n"/>
      <c r="CM52" s="66" t="n"/>
    </row>
    <row r="53">
      <c r="A53" s="1" t="n"/>
      <c r="B53" s="59" t="inlineStr">
        <is>
          <t>6.3</t>
        </is>
      </c>
      <c r="C53" s="60" t="inlineStr">
        <is>
          <t>P6 補助金・助成金・融資</t>
        </is>
      </c>
      <c r="D53" s="61" t="inlineStr">
        <is>
          <t>融資申込用の創業計画書作成</t>
        </is>
      </c>
      <c r="E53" s="61" t="inlineStr">
        <is>
          <t>日本政策金融公庫・制度融資向けの創業計画書を作成する［担当: capital-planning／協働］［依存: 1.4］</t>
        </is>
      </c>
      <c r="F53" s="62" t="n"/>
      <c r="G53" s="60" t="inlineStr">
        <is>
          <t>創業計画書</t>
        </is>
      </c>
      <c r="H53" s="63" t="n">
        <v>46356</v>
      </c>
      <c r="I53" s="63" t="n">
        <v>46360</v>
      </c>
      <c r="J53" s="64">
        <f>IF(AND(H53&lt;&gt;"",I53&lt;&gt;""),DAYS(I53,H53)+1,"")</f>
        <v/>
      </c>
      <c r="K53" s="65" t="n">
        <v>0</v>
      </c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  <c r="AO53" s="66" t="n"/>
      <c r="AP53" s="66" t="n"/>
      <c r="AQ53" s="66" t="n"/>
      <c r="AR53" s="66" t="n"/>
      <c r="AS53" s="66" t="n"/>
      <c r="AT53" s="66" t="n"/>
      <c r="AU53" s="66" t="n"/>
      <c r="AV53" s="66" t="n"/>
      <c r="AW53" s="66" t="n"/>
      <c r="AX53" s="66" t="n"/>
      <c r="AY53" s="66" t="n"/>
      <c r="AZ53" s="66" t="n"/>
      <c r="BA53" s="66" t="n"/>
      <c r="BB53" s="66" t="n"/>
      <c r="BC53" s="66" t="n"/>
      <c r="BD53" s="66" t="n"/>
      <c r="BE53" s="66" t="n"/>
      <c r="BF53" s="66" t="n"/>
      <c r="BG53" s="66" t="n"/>
      <c r="BH53" s="66" t="n"/>
      <c r="BI53" s="66" t="n"/>
      <c r="BJ53" s="66" t="n"/>
      <c r="BK53" s="66" t="n"/>
      <c r="BL53" s="66" t="n"/>
      <c r="BM53" s="66" t="n"/>
      <c r="BN53" s="66" t="n"/>
      <c r="BO53" s="66" t="n"/>
      <c r="BP53" s="66" t="n"/>
      <c r="BQ53" s="66" t="n"/>
      <c r="BR53" s="66" t="n"/>
      <c r="BS53" s="66" t="n"/>
      <c r="BT53" s="66" t="n"/>
      <c r="BU53" s="66" t="n"/>
      <c r="BV53" s="66" t="n"/>
      <c r="BW53" s="66" t="n"/>
      <c r="BX53" s="66" t="n"/>
      <c r="BY53" s="66" t="n"/>
      <c r="BZ53" s="66" t="n"/>
      <c r="CA53" s="66" t="n"/>
      <c r="CB53" s="66" t="n"/>
      <c r="CC53" s="66" t="n"/>
      <c r="CD53" s="66" t="n"/>
      <c r="CE53" s="66" t="n"/>
      <c r="CF53" s="66" t="n"/>
      <c r="CG53" s="66" t="n"/>
      <c r="CH53" s="66" t="n"/>
      <c r="CI53" s="66" t="n"/>
      <c r="CJ53" s="66" t="n"/>
      <c r="CK53" s="66" t="n"/>
      <c r="CL53" s="66" t="n"/>
      <c r="CM53" s="66" t="n"/>
    </row>
    <row r="54">
      <c r="A54" s="1" t="n"/>
      <c r="B54" s="59" t="inlineStr">
        <is>
          <t>6.4</t>
        </is>
      </c>
      <c r="C54" s="60" t="inlineStr">
        <is>
          <t>P6 補助金・助成金・融資</t>
        </is>
      </c>
      <c r="D54" s="61" t="inlineStr">
        <is>
          <t>申請・実績報告の管理</t>
        </is>
      </c>
      <c r="E54" s="61" t="inlineStr">
        <is>
          <t>交付決定前の発注禁止・後払い・実績報告期限を管理する［担当: 人間 + 士業／士業］［依存: 6.2, 3.5］</t>
        </is>
      </c>
      <c r="F54" s="62" t="n"/>
      <c r="G54" s="60" t="inlineStr">
        <is>
          <t>申請/報告記録</t>
        </is>
      </c>
      <c r="H54" s="63" t="n">
        <v>46392</v>
      </c>
      <c r="I54" s="63" t="n">
        <v>46419</v>
      </c>
      <c r="J54" s="64">
        <f>IF(AND(H54&lt;&gt;"",I54&lt;&gt;""),DAYS(I54,H54)+1,"")</f>
        <v/>
      </c>
      <c r="K54" s="65" t="n">
        <v>0</v>
      </c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  <c r="AO54" s="66" t="n"/>
      <c r="AP54" s="66" t="n"/>
      <c r="AQ54" s="66" t="n"/>
      <c r="AR54" s="66" t="n"/>
      <c r="AS54" s="66" t="n"/>
      <c r="AT54" s="66" t="n"/>
      <c r="AU54" s="66" t="n"/>
      <c r="AV54" s="66" t="n"/>
      <c r="AW54" s="66" t="n"/>
      <c r="AX54" s="66" t="n"/>
      <c r="AY54" s="66" t="n"/>
      <c r="AZ54" s="66" t="n"/>
      <c r="BA54" s="66" t="n"/>
      <c r="BB54" s="66" t="n"/>
      <c r="BC54" s="66" t="n"/>
      <c r="BD54" s="66" t="n"/>
      <c r="BE54" s="66" t="n"/>
      <c r="BF54" s="66" t="n"/>
      <c r="BG54" s="66" t="n"/>
      <c r="BH54" s="66" t="n"/>
      <c r="BI54" s="66" t="n"/>
      <c r="BJ54" s="66" t="n"/>
      <c r="BK54" s="66" t="n"/>
      <c r="BL54" s="66" t="n"/>
      <c r="BM54" s="66" t="n"/>
      <c r="BN54" s="66" t="n"/>
      <c r="BO54" s="66" t="n"/>
      <c r="BP54" s="66" t="n"/>
      <c r="BQ54" s="66" t="n"/>
      <c r="BR54" s="66" t="n"/>
      <c r="BS54" s="66" t="n"/>
      <c r="BT54" s="66" t="n"/>
      <c r="BU54" s="66" t="n"/>
      <c r="BV54" s="66" t="n"/>
      <c r="BW54" s="66" t="n"/>
      <c r="BX54" s="66" t="n"/>
      <c r="BY54" s="66" t="n"/>
      <c r="BZ54" s="66" t="n"/>
      <c r="CA54" s="66" t="n"/>
      <c r="CB54" s="66" t="n"/>
      <c r="CC54" s="66" t="n"/>
      <c r="CD54" s="66" t="n"/>
      <c r="CE54" s="66" t="n"/>
      <c r="CF54" s="66" t="n"/>
      <c r="CG54" s="66" t="n"/>
      <c r="CH54" s="66" t="n"/>
      <c r="CI54" s="66" t="n"/>
      <c r="CJ54" s="66" t="n"/>
      <c r="CK54" s="66" t="n"/>
      <c r="CL54" s="66" t="n"/>
      <c r="CM54" s="66" t="n"/>
    </row>
    <row r="55">
      <c r="A55" s="1" t="n"/>
      <c r="B55" s="53" t="inlineStr">
        <is>
          <t>7</t>
        </is>
      </c>
      <c r="C55" s="54" t="inlineStr">
        <is>
          <t>P7 マーケティング基盤</t>
        </is>
      </c>
      <c r="D55" s="54" t="n"/>
      <c r="E55" s="54" t="inlineStr">
        <is>
          <t>ターゲット・SNS戦略・コンテンツカレンダー・計測基盤・法務表示を整える</t>
        </is>
      </c>
      <c r="F55" s="54" t="n"/>
      <c r="G55" s="54" t="n"/>
      <c r="H55" s="55" t="n"/>
      <c r="I55" s="55" t="n"/>
      <c r="J55" s="56" t="n"/>
      <c r="K55" s="57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  <c r="U55" s="58" t="n"/>
      <c r="V55" s="58" t="n"/>
      <c r="W55" s="58" t="n"/>
      <c r="X55" s="58" t="n"/>
      <c r="Y55" s="58" t="n"/>
      <c r="Z55" s="58" t="n"/>
      <c r="AA55" s="58" t="n"/>
      <c r="AB55" s="58" t="n"/>
      <c r="AC55" s="58" t="n"/>
      <c r="AD55" s="58" t="n"/>
      <c r="AE55" s="58" t="n"/>
      <c r="AF55" s="58" t="n"/>
      <c r="AG55" s="58" t="n"/>
      <c r="AH55" s="58" t="n"/>
      <c r="AI55" s="58" t="n"/>
      <c r="AJ55" s="58" t="n"/>
      <c r="AK55" s="58" t="n"/>
      <c r="AL55" s="58" t="n"/>
      <c r="AM55" s="58" t="n"/>
      <c r="AN55" s="58" t="n"/>
      <c r="AO55" s="58" t="n"/>
      <c r="AP55" s="58" t="n"/>
      <c r="AQ55" s="58" t="n"/>
      <c r="AR55" s="58" t="n"/>
      <c r="AS55" s="58" t="n"/>
      <c r="AT55" s="58" t="n"/>
      <c r="AU55" s="58" t="n"/>
      <c r="AV55" s="58" t="n"/>
      <c r="AW55" s="58" t="n"/>
      <c r="AX55" s="58" t="n"/>
      <c r="AY55" s="58" t="n"/>
      <c r="AZ55" s="58" t="n"/>
      <c r="BA55" s="58" t="n"/>
      <c r="BB55" s="58" t="n"/>
      <c r="BC55" s="58" t="n"/>
      <c r="BD55" s="58" t="n"/>
      <c r="BE55" s="58" t="n"/>
      <c r="BF55" s="58" t="n"/>
      <c r="BG55" s="58" t="n"/>
      <c r="BH55" s="58" t="n"/>
      <c r="BI55" s="58" t="n"/>
      <c r="BJ55" s="58" t="n"/>
      <c r="BK55" s="58" t="n"/>
      <c r="BL55" s="58" t="n"/>
      <c r="BM55" s="58" t="n"/>
      <c r="BN55" s="58" t="n"/>
      <c r="BO55" s="58" t="n"/>
      <c r="BP55" s="58" t="n"/>
      <c r="BQ55" s="58" t="n"/>
      <c r="BR55" s="58" t="n"/>
      <c r="BS55" s="58" t="n"/>
      <c r="BT55" s="58" t="n"/>
      <c r="BU55" s="58" t="n"/>
      <c r="BV55" s="58" t="n"/>
      <c r="BW55" s="58" t="n"/>
      <c r="BX55" s="58" t="n"/>
      <c r="BY55" s="58" t="n"/>
      <c r="BZ55" s="58" t="n"/>
      <c r="CA55" s="58" t="n"/>
      <c r="CB55" s="58" t="n"/>
      <c r="CC55" s="58" t="n"/>
      <c r="CD55" s="58" t="n"/>
      <c r="CE55" s="58" t="n"/>
      <c r="CF55" s="58" t="n"/>
      <c r="CG55" s="58" t="n"/>
      <c r="CH55" s="58" t="n"/>
      <c r="CI55" s="58" t="n"/>
      <c r="CJ55" s="58" t="n"/>
      <c r="CK55" s="58" t="n"/>
      <c r="CL55" s="58" t="n"/>
      <c r="CM55" s="58" t="n"/>
    </row>
    <row r="56">
      <c r="A56" s="1" t="n"/>
      <c r="B56" s="59" t="inlineStr">
        <is>
          <t>7.1</t>
        </is>
      </c>
      <c r="C56" s="60" t="inlineStr">
        <is>
          <t>P7 マーケティング基盤</t>
        </is>
      </c>
      <c r="D56" s="61" t="inlineStr">
        <is>
          <t>ターゲット・ペルソナ・ポジショニング</t>
        </is>
      </c>
      <c r="E56" s="61" t="inlineStr">
        <is>
          <t>顧客像と提供価値、競合との差別化軸を定義する［担当: growth / sns-marketing-framework／協働］［依存: 0.5］</t>
        </is>
      </c>
      <c r="F56" s="62" t="n"/>
      <c r="G56" s="60" t="inlineStr">
        <is>
          <t>sns-marketing-framework.md §1</t>
        </is>
      </c>
      <c r="H56" s="63" t="n">
        <v>46344</v>
      </c>
      <c r="I56" s="63" t="n">
        <v>46346</v>
      </c>
      <c r="J56" s="64">
        <f>IF(AND(H56&lt;&gt;"",I56&lt;&gt;""),DAYS(I56,H56)+1,"")</f>
        <v/>
      </c>
      <c r="K56" s="65" t="n">
        <v>0</v>
      </c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  <c r="AO56" s="66" t="n"/>
      <c r="AP56" s="66" t="n"/>
      <c r="AQ56" s="66" t="n"/>
      <c r="AR56" s="66" t="n"/>
      <c r="AS56" s="66" t="n"/>
      <c r="AT56" s="66" t="n"/>
      <c r="AU56" s="66" t="n"/>
      <c r="AV56" s="66" t="n"/>
      <c r="AW56" s="66" t="n"/>
      <c r="AX56" s="66" t="n"/>
      <c r="AY56" s="66" t="n"/>
      <c r="AZ56" s="66" t="n"/>
      <c r="BA56" s="66" t="n"/>
      <c r="BB56" s="66" t="n"/>
      <c r="BC56" s="66" t="n"/>
      <c r="BD56" s="66" t="n"/>
      <c r="BE56" s="66" t="n"/>
      <c r="BF56" s="66" t="n"/>
      <c r="BG56" s="66" t="n"/>
      <c r="BH56" s="66" t="n"/>
      <c r="BI56" s="66" t="n"/>
      <c r="BJ56" s="66" t="n"/>
      <c r="BK56" s="66" t="n"/>
      <c r="BL56" s="66" t="n"/>
      <c r="BM56" s="66" t="n"/>
      <c r="BN56" s="66" t="n"/>
      <c r="BO56" s="66" t="n"/>
      <c r="BP56" s="66" t="n"/>
      <c r="BQ56" s="66" t="n"/>
      <c r="BR56" s="66" t="n"/>
      <c r="BS56" s="66" t="n"/>
      <c r="BT56" s="66" t="n"/>
      <c r="BU56" s="66" t="n"/>
      <c r="BV56" s="66" t="n"/>
      <c r="BW56" s="66" t="n"/>
      <c r="BX56" s="66" t="n"/>
      <c r="BY56" s="66" t="n"/>
      <c r="BZ56" s="66" t="n"/>
      <c r="CA56" s="66" t="n"/>
      <c r="CB56" s="66" t="n"/>
      <c r="CC56" s="66" t="n"/>
      <c r="CD56" s="66" t="n"/>
      <c r="CE56" s="66" t="n"/>
      <c r="CF56" s="66" t="n"/>
      <c r="CG56" s="66" t="n"/>
      <c r="CH56" s="66" t="n"/>
      <c r="CI56" s="66" t="n"/>
      <c r="CJ56" s="66" t="n"/>
      <c r="CK56" s="66" t="n"/>
      <c r="CL56" s="66" t="n"/>
      <c r="CM56" s="66" t="n"/>
    </row>
    <row r="57">
      <c r="A57" s="1" t="n"/>
      <c r="B57" s="59" t="inlineStr">
        <is>
          <t>7.2</t>
        </is>
      </c>
      <c r="C57" s="60" t="inlineStr">
        <is>
          <t>P7 マーケティング基盤</t>
        </is>
      </c>
      <c r="D57" s="61" t="inlineStr">
        <is>
          <t>SNS戦略設計(チャネル・ファネル・KPI)</t>
        </is>
      </c>
      <c r="E57" s="61" t="inlineStr">
        <is>
          <t>チャネル選定・コンテンツピラー・ファネルKPIを設計する［担当: sns-marketing-framework／AI］［依存: 7.1］</t>
        </is>
      </c>
      <c r="F57" s="62" t="n"/>
      <c r="G57" s="60" t="inlineStr">
        <is>
          <t>sns-marketing-framework.md §2-4</t>
        </is>
      </c>
      <c r="H57" s="63" t="n">
        <v>46349</v>
      </c>
      <c r="I57" s="63" t="n">
        <v>46351</v>
      </c>
      <c r="J57" s="64">
        <f>IF(AND(H57&lt;&gt;"",I57&lt;&gt;""),DAYS(I57,H57)+1,"")</f>
        <v/>
      </c>
      <c r="K57" s="65" t="n">
        <v>0</v>
      </c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  <c r="AO57" s="66" t="n"/>
      <c r="AP57" s="66" t="n"/>
      <c r="AQ57" s="66" t="n"/>
      <c r="AR57" s="66" t="n"/>
      <c r="AS57" s="66" t="n"/>
      <c r="AT57" s="66" t="n"/>
      <c r="AU57" s="66" t="n"/>
      <c r="AV57" s="66" t="n"/>
      <c r="AW57" s="66" t="n"/>
      <c r="AX57" s="66" t="n"/>
      <c r="AY57" s="66" t="n"/>
      <c r="AZ57" s="66" t="n"/>
      <c r="BA57" s="66" t="n"/>
      <c r="BB57" s="66" t="n"/>
      <c r="BC57" s="66" t="n"/>
      <c r="BD57" s="66" t="n"/>
      <c r="BE57" s="66" t="n"/>
      <c r="BF57" s="66" t="n"/>
      <c r="BG57" s="66" t="n"/>
      <c r="BH57" s="66" t="n"/>
      <c r="BI57" s="66" t="n"/>
      <c r="BJ57" s="66" t="n"/>
      <c r="BK57" s="66" t="n"/>
      <c r="BL57" s="66" t="n"/>
      <c r="BM57" s="66" t="n"/>
      <c r="BN57" s="66" t="n"/>
      <c r="BO57" s="66" t="n"/>
      <c r="BP57" s="66" t="n"/>
      <c r="BQ57" s="66" t="n"/>
      <c r="BR57" s="66" t="n"/>
      <c r="BS57" s="66" t="n"/>
      <c r="BT57" s="66" t="n"/>
      <c r="BU57" s="66" t="n"/>
      <c r="BV57" s="66" t="n"/>
      <c r="BW57" s="66" t="n"/>
      <c r="BX57" s="66" t="n"/>
      <c r="BY57" s="66" t="n"/>
      <c r="BZ57" s="66" t="n"/>
      <c r="CA57" s="66" t="n"/>
      <c r="CB57" s="66" t="n"/>
      <c r="CC57" s="66" t="n"/>
      <c r="CD57" s="66" t="n"/>
      <c r="CE57" s="66" t="n"/>
      <c r="CF57" s="66" t="n"/>
      <c r="CG57" s="66" t="n"/>
      <c r="CH57" s="66" t="n"/>
      <c r="CI57" s="66" t="n"/>
      <c r="CJ57" s="66" t="n"/>
      <c r="CK57" s="66" t="n"/>
      <c r="CL57" s="66" t="n"/>
      <c r="CM57" s="66" t="n"/>
    </row>
    <row r="58">
      <c r="A58" s="1" t="n"/>
      <c r="B58" s="59" t="inlineStr">
        <is>
          <t>7.3</t>
        </is>
      </c>
      <c r="C58" s="60" t="inlineStr">
        <is>
          <t>P7 マーケティング基盤</t>
        </is>
      </c>
      <c r="D58" s="61" t="inlineStr">
        <is>
          <t>コンテンツカレンダー作成</t>
        </is>
      </c>
      <c r="E58" s="61" t="inlineStr">
        <is>
          <t>X/TikTok/Instagram/ブログ等の投稿計画を作成する［担当: sns-marketing-framework／AI］［依存: 7.2］</t>
        </is>
      </c>
      <c r="F58" s="62" t="n"/>
      <c r="G58" s="60" t="inlineStr">
        <is>
          <t>sns-content-calendar.csv</t>
        </is>
      </c>
      <c r="H58" s="63" t="n">
        <v>46352</v>
      </c>
      <c r="I58" s="63" t="n">
        <v>46356</v>
      </c>
      <c r="J58" s="64">
        <f>IF(AND(H58&lt;&gt;"",I58&lt;&gt;""),DAYS(I58,H58)+1,"")</f>
        <v/>
      </c>
      <c r="K58" s="65" t="n">
        <v>0</v>
      </c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  <c r="AO58" s="66" t="n"/>
      <c r="AP58" s="66" t="n"/>
      <c r="AQ58" s="66" t="n"/>
      <c r="AR58" s="66" t="n"/>
      <c r="AS58" s="66" t="n"/>
      <c r="AT58" s="66" t="n"/>
      <c r="AU58" s="66" t="n"/>
      <c r="AV58" s="66" t="n"/>
      <c r="AW58" s="66" t="n"/>
      <c r="AX58" s="66" t="n"/>
      <c r="AY58" s="66" t="n"/>
      <c r="AZ58" s="66" t="n"/>
      <c r="BA58" s="66" t="n"/>
      <c r="BB58" s="66" t="n"/>
      <c r="BC58" s="66" t="n"/>
      <c r="BD58" s="66" t="n"/>
      <c r="BE58" s="66" t="n"/>
      <c r="BF58" s="66" t="n"/>
      <c r="BG58" s="66" t="n"/>
      <c r="BH58" s="66" t="n"/>
      <c r="BI58" s="66" t="n"/>
      <c r="BJ58" s="66" t="n"/>
      <c r="BK58" s="66" t="n"/>
      <c r="BL58" s="66" t="n"/>
      <c r="BM58" s="66" t="n"/>
      <c r="BN58" s="66" t="n"/>
      <c r="BO58" s="66" t="n"/>
      <c r="BP58" s="66" t="n"/>
      <c r="BQ58" s="66" t="n"/>
      <c r="BR58" s="66" t="n"/>
      <c r="BS58" s="66" t="n"/>
      <c r="BT58" s="66" t="n"/>
      <c r="BU58" s="66" t="n"/>
      <c r="BV58" s="66" t="n"/>
      <c r="BW58" s="66" t="n"/>
      <c r="BX58" s="66" t="n"/>
      <c r="BY58" s="66" t="n"/>
      <c r="BZ58" s="66" t="n"/>
      <c r="CA58" s="66" t="n"/>
      <c r="CB58" s="66" t="n"/>
      <c r="CC58" s="66" t="n"/>
      <c r="CD58" s="66" t="n"/>
      <c r="CE58" s="66" t="n"/>
      <c r="CF58" s="66" t="n"/>
      <c r="CG58" s="66" t="n"/>
      <c r="CH58" s="66" t="n"/>
      <c r="CI58" s="66" t="n"/>
      <c r="CJ58" s="66" t="n"/>
      <c r="CK58" s="66" t="n"/>
      <c r="CL58" s="66" t="n"/>
      <c r="CM58" s="66" t="n"/>
    </row>
    <row r="59">
      <c r="A59" s="1" t="n"/>
      <c r="B59" s="59" t="inlineStr">
        <is>
          <t>7.4</t>
        </is>
      </c>
      <c r="C59" s="60" t="inlineStr">
        <is>
          <t>P7 マーケティング基盤</t>
        </is>
      </c>
      <c r="D59" s="61" t="inlineStr">
        <is>
          <t>計測基盤(UTM・KPI-KGI)</t>
        </is>
      </c>
      <c r="E59" s="61" t="inlineStr">
        <is>
          <t>計測イベント・UTM規約・KPI/KGI逆算シートを整える［担当: business-launch / kpi-design／AI］［依存: 7.2］</t>
        </is>
      </c>
      <c r="F59" s="62" t="n"/>
      <c r="G59" s="60" t="inlineStr">
        <is>
          <t>kpi-kgi.csv</t>
        </is>
      </c>
      <c r="H59" s="63" t="n">
        <v>46352</v>
      </c>
      <c r="I59" s="63" t="n">
        <v>46356</v>
      </c>
      <c r="J59" s="64">
        <f>IF(AND(H59&lt;&gt;"",I59&lt;&gt;""),DAYS(I59,H59)+1,"")</f>
        <v/>
      </c>
      <c r="K59" s="65" t="n">
        <v>0</v>
      </c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  <c r="AO59" s="66" t="n"/>
      <c r="AP59" s="66" t="n"/>
      <c r="AQ59" s="66" t="n"/>
      <c r="AR59" s="66" t="n"/>
      <c r="AS59" s="66" t="n"/>
      <c r="AT59" s="66" t="n"/>
      <c r="AU59" s="66" t="n"/>
      <c r="AV59" s="66" t="n"/>
      <c r="AW59" s="66" t="n"/>
      <c r="AX59" s="66" t="n"/>
      <c r="AY59" s="66" t="n"/>
      <c r="AZ59" s="66" t="n"/>
      <c r="BA59" s="66" t="n"/>
      <c r="BB59" s="66" t="n"/>
      <c r="BC59" s="66" t="n"/>
      <c r="BD59" s="66" t="n"/>
      <c r="BE59" s="66" t="n"/>
      <c r="BF59" s="66" t="n"/>
      <c r="BG59" s="66" t="n"/>
      <c r="BH59" s="66" t="n"/>
      <c r="BI59" s="66" t="n"/>
      <c r="BJ59" s="66" t="n"/>
      <c r="BK59" s="66" t="n"/>
      <c r="BL59" s="66" t="n"/>
      <c r="BM59" s="66" t="n"/>
      <c r="BN59" s="66" t="n"/>
      <c r="BO59" s="66" t="n"/>
      <c r="BP59" s="66" t="n"/>
      <c r="BQ59" s="66" t="n"/>
      <c r="BR59" s="66" t="n"/>
      <c r="BS59" s="66" t="n"/>
      <c r="BT59" s="66" t="n"/>
      <c r="BU59" s="66" t="n"/>
      <c r="BV59" s="66" t="n"/>
      <c r="BW59" s="66" t="n"/>
      <c r="BX59" s="66" t="n"/>
      <c r="BY59" s="66" t="n"/>
      <c r="BZ59" s="66" t="n"/>
      <c r="CA59" s="66" t="n"/>
      <c r="CB59" s="66" t="n"/>
      <c r="CC59" s="66" t="n"/>
      <c r="CD59" s="66" t="n"/>
      <c r="CE59" s="66" t="n"/>
      <c r="CF59" s="66" t="n"/>
      <c r="CG59" s="66" t="n"/>
      <c r="CH59" s="66" t="n"/>
      <c r="CI59" s="66" t="n"/>
      <c r="CJ59" s="66" t="n"/>
      <c r="CK59" s="66" t="n"/>
      <c r="CL59" s="66" t="n"/>
      <c r="CM59" s="66" t="n"/>
    </row>
    <row r="60">
      <c r="A60" s="1" t="n"/>
      <c r="B60" s="59" t="inlineStr">
        <is>
          <t>7.5</t>
        </is>
      </c>
      <c r="C60" s="60" t="inlineStr">
        <is>
          <t>P7 マーケティング基盤</t>
        </is>
      </c>
      <c r="D60" s="61" t="inlineStr">
        <is>
          <t>法務表示・広告規制の確認</t>
        </is>
      </c>
      <c r="E60" s="61" t="inlineStr">
        <is>
          <t>特商法表記・プライバシーポリシー・利用規約・景表法(ステマ規制含む)等を確認する［担当: incorporation-legal／士業］［依存: 0.5, 2.2］</t>
        </is>
      </c>
      <c r="F60" s="62" t="n"/>
      <c r="G60" s="60" t="inlineStr">
        <is>
          <t>法務表示一式</t>
        </is>
      </c>
      <c r="H60" s="63" t="n">
        <v>46360</v>
      </c>
      <c r="I60" s="63" t="n">
        <v>46365</v>
      </c>
      <c r="J60" s="64">
        <f>IF(AND(H60&lt;&gt;"",I60&lt;&gt;""),DAYS(I60,H60)+1,"")</f>
        <v/>
      </c>
      <c r="K60" s="65" t="n">
        <v>0</v>
      </c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  <c r="AO60" s="66" t="n"/>
      <c r="AP60" s="66" t="n"/>
      <c r="AQ60" s="66" t="n"/>
      <c r="AR60" s="66" t="n"/>
      <c r="AS60" s="66" t="n"/>
      <c r="AT60" s="66" t="n"/>
      <c r="AU60" s="66" t="n"/>
      <c r="AV60" s="66" t="n"/>
      <c r="AW60" s="66" t="n"/>
      <c r="AX60" s="66" t="n"/>
      <c r="AY60" s="66" t="n"/>
      <c r="AZ60" s="66" t="n"/>
      <c r="BA60" s="66" t="n"/>
      <c r="BB60" s="66" t="n"/>
      <c r="BC60" s="66" t="n"/>
      <c r="BD60" s="66" t="n"/>
      <c r="BE60" s="66" t="n"/>
      <c r="BF60" s="66" t="n"/>
      <c r="BG60" s="66" t="n"/>
      <c r="BH60" s="66" t="n"/>
      <c r="BI60" s="66" t="n"/>
      <c r="BJ60" s="66" t="n"/>
      <c r="BK60" s="66" t="n"/>
      <c r="BL60" s="66" t="n"/>
      <c r="BM60" s="66" t="n"/>
      <c r="BN60" s="66" t="n"/>
      <c r="BO60" s="66" t="n"/>
      <c r="BP60" s="66" t="n"/>
      <c r="BQ60" s="66" t="n"/>
      <c r="BR60" s="66" t="n"/>
      <c r="BS60" s="66" t="n"/>
      <c r="BT60" s="66" t="n"/>
      <c r="BU60" s="66" t="n"/>
      <c r="BV60" s="66" t="n"/>
      <c r="BW60" s="66" t="n"/>
      <c r="BX60" s="66" t="n"/>
      <c r="BY60" s="66" t="n"/>
      <c r="BZ60" s="66" t="n"/>
      <c r="CA60" s="66" t="n"/>
      <c r="CB60" s="66" t="n"/>
      <c r="CC60" s="66" t="n"/>
      <c r="CD60" s="66" t="n"/>
      <c r="CE60" s="66" t="n"/>
      <c r="CF60" s="66" t="n"/>
      <c r="CG60" s="66" t="n"/>
      <c r="CH60" s="66" t="n"/>
      <c r="CI60" s="66" t="n"/>
      <c r="CJ60" s="66" t="n"/>
      <c r="CK60" s="66" t="n"/>
      <c r="CL60" s="66" t="n"/>
      <c r="CM60" s="66" t="n"/>
    </row>
    <row r="61">
      <c r="A61" s="1" t="n"/>
      <c r="B61" s="53" t="inlineStr">
        <is>
          <t>8</t>
        </is>
      </c>
      <c r="C61" s="54" t="inlineStr">
        <is>
          <t>P8 開業・運用</t>
        </is>
      </c>
      <c r="D61" s="54" t="n"/>
      <c r="E61" s="54" t="inlineStr">
        <is>
          <t>予実管理とKPIの運用を開始し、Gate L4(開業前最終確認)を通して月次レビューへ移行する</t>
        </is>
      </c>
      <c r="F61" s="54" t="n"/>
      <c r="G61" s="54" t="n"/>
      <c r="H61" s="55" t="n"/>
      <c r="I61" s="55" t="n"/>
      <c r="J61" s="56" t="n"/>
      <c r="K61" s="57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  <c r="U61" s="58" t="n"/>
      <c r="V61" s="58" t="n"/>
      <c r="W61" s="58" t="n"/>
      <c r="X61" s="58" t="n"/>
      <c r="Y61" s="58" t="n"/>
      <c r="Z61" s="58" t="n"/>
      <c r="AA61" s="58" t="n"/>
      <c r="AB61" s="58" t="n"/>
      <c r="AC61" s="58" t="n"/>
      <c r="AD61" s="58" t="n"/>
      <c r="AE61" s="58" t="n"/>
      <c r="AF61" s="58" t="n"/>
      <c r="AG61" s="58" t="n"/>
      <c r="AH61" s="58" t="n"/>
      <c r="AI61" s="58" t="n"/>
      <c r="AJ61" s="58" t="n"/>
      <c r="AK61" s="58" t="n"/>
      <c r="AL61" s="58" t="n"/>
      <c r="AM61" s="58" t="n"/>
      <c r="AN61" s="58" t="n"/>
      <c r="AO61" s="58" t="n"/>
      <c r="AP61" s="58" t="n"/>
      <c r="AQ61" s="58" t="n"/>
      <c r="AR61" s="58" t="n"/>
      <c r="AS61" s="58" t="n"/>
      <c r="AT61" s="58" t="n"/>
      <c r="AU61" s="58" t="n"/>
      <c r="AV61" s="58" t="n"/>
      <c r="AW61" s="58" t="n"/>
      <c r="AX61" s="58" t="n"/>
      <c r="AY61" s="58" t="n"/>
      <c r="AZ61" s="58" t="n"/>
      <c r="BA61" s="58" t="n"/>
      <c r="BB61" s="58" t="n"/>
      <c r="BC61" s="58" t="n"/>
      <c r="BD61" s="58" t="n"/>
      <c r="BE61" s="58" t="n"/>
      <c r="BF61" s="58" t="n"/>
      <c r="BG61" s="58" t="n"/>
      <c r="BH61" s="58" t="n"/>
      <c r="BI61" s="58" t="n"/>
      <c r="BJ61" s="58" t="n"/>
      <c r="BK61" s="58" t="n"/>
      <c r="BL61" s="58" t="n"/>
      <c r="BM61" s="58" t="n"/>
      <c r="BN61" s="58" t="n"/>
      <c r="BO61" s="58" t="n"/>
      <c r="BP61" s="58" t="n"/>
      <c r="BQ61" s="58" t="n"/>
      <c r="BR61" s="58" t="n"/>
      <c r="BS61" s="58" t="n"/>
      <c r="BT61" s="58" t="n"/>
      <c r="BU61" s="58" t="n"/>
      <c r="BV61" s="58" t="n"/>
      <c r="BW61" s="58" t="n"/>
      <c r="BX61" s="58" t="n"/>
      <c r="BY61" s="58" t="n"/>
      <c r="BZ61" s="58" t="n"/>
      <c r="CA61" s="58" t="n"/>
      <c r="CB61" s="58" t="n"/>
      <c r="CC61" s="58" t="n"/>
      <c r="CD61" s="58" t="n"/>
      <c r="CE61" s="58" t="n"/>
      <c r="CF61" s="58" t="n"/>
      <c r="CG61" s="58" t="n"/>
      <c r="CH61" s="58" t="n"/>
      <c r="CI61" s="58" t="n"/>
      <c r="CJ61" s="58" t="n"/>
      <c r="CK61" s="58" t="n"/>
      <c r="CL61" s="58" t="n"/>
      <c r="CM61" s="58" t="n"/>
    </row>
    <row r="62">
      <c r="A62" s="1" t="n"/>
      <c r="B62" s="59" t="inlineStr">
        <is>
          <t>8.1</t>
        </is>
      </c>
      <c r="C62" s="60" t="inlineStr">
        <is>
          <t>P8 開業・運用</t>
        </is>
      </c>
      <c r="D62" s="61" t="inlineStr">
        <is>
          <t>予実管理表・KPI/KGIの運用開始</t>
        </is>
      </c>
      <c r="E62" s="61" t="inlineStr">
        <is>
          <t>予算を確定し実績入力の担当と更新頻度を決める［担当: business-launch / launch-planning／協働］［依存: 1.2, 7.4］</t>
        </is>
      </c>
      <c r="F62" s="62" t="n"/>
      <c r="G62" s="60" t="inlineStr">
        <is>
          <t>budget-actual-tracker.csv</t>
        </is>
      </c>
      <c r="H62" s="63" t="n">
        <v>46357</v>
      </c>
      <c r="I62" s="63" t="n">
        <v>46358</v>
      </c>
      <c r="J62" s="64">
        <f>IF(AND(H62&lt;&gt;"",I62&lt;&gt;""),DAYS(I62,H62)+1,"")</f>
        <v/>
      </c>
      <c r="K62" s="65" t="n">
        <v>0</v>
      </c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  <c r="AO62" s="66" t="n"/>
      <c r="AP62" s="66" t="n"/>
      <c r="AQ62" s="66" t="n"/>
      <c r="AR62" s="66" t="n"/>
      <c r="AS62" s="66" t="n"/>
      <c r="AT62" s="66" t="n"/>
      <c r="AU62" s="66" t="n"/>
      <c r="AV62" s="66" t="n"/>
      <c r="AW62" s="66" t="n"/>
      <c r="AX62" s="66" t="n"/>
      <c r="AY62" s="66" t="n"/>
      <c r="AZ62" s="66" t="n"/>
      <c r="BA62" s="66" t="n"/>
      <c r="BB62" s="66" t="n"/>
      <c r="BC62" s="66" t="n"/>
      <c r="BD62" s="66" t="n"/>
      <c r="BE62" s="66" t="n"/>
      <c r="BF62" s="66" t="n"/>
      <c r="BG62" s="66" t="n"/>
      <c r="BH62" s="66" t="n"/>
      <c r="BI62" s="66" t="n"/>
      <c r="BJ62" s="66" t="n"/>
      <c r="BK62" s="66" t="n"/>
      <c r="BL62" s="66" t="n"/>
      <c r="BM62" s="66" t="n"/>
      <c r="BN62" s="66" t="n"/>
      <c r="BO62" s="66" t="n"/>
      <c r="BP62" s="66" t="n"/>
      <c r="BQ62" s="66" t="n"/>
      <c r="BR62" s="66" t="n"/>
      <c r="BS62" s="66" t="n"/>
      <c r="BT62" s="66" t="n"/>
      <c r="BU62" s="66" t="n"/>
      <c r="BV62" s="66" t="n"/>
      <c r="BW62" s="66" t="n"/>
      <c r="BX62" s="66" t="n"/>
      <c r="BY62" s="66" t="n"/>
      <c r="BZ62" s="66" t="n"/>
      <c r="CA62" s="66" t="n"/>
      <c r="CB62" s="66" t="n"/>
      <c r="CC62" s="66" t="n"/>
      <c r="CD62" s="66" t="n"/>
      <c r="CE62" s="66" t="n"/>
      <c r="CF62" s="66" t="n"/>
      <c r="CG62" s="66" t="n"/>
      <c r="CH62" s="66" t="n"/>
      <c r="CI62" s="66" t="n"/>
      <c r="CJ62" s="66" t="n"/>
      <c r="CK62" s="66" t="n"/>
      <c r="CL62" s="66" t="n"/>
      <c r="CM62" s="66" t="n"/>
    </row>
    <row r="63">
      <c r="A63" s="1" t="n"/>
      <c r="B63" s="59" t="inlineStr">
        <is>
          <t>8.2</t>
        </is>
      </c>
      <c r="C63" s="60" t="inlineStr">
        <is>
          <t>P8 開業・運用</t>
        </is>
      </c>
      <c r="D63" s="61" t="inlineStr">
        <is>
          <t>開業前最終確認(Gate L4)</t>
        </is>
      </c>
      <c r="E63" s="61" t="inlineStr">
        <is>
          <t>届出・口座・ツール・規程・表示・予実の準備完了をOwnerが確認する［担当: 人間(Owner)／人間］［Gate L4］［依存: 4.2, 4.3, 4.4, 4.5, 4.6, 5.1, 5.2, 5.3, 5.6, 7.3, 7.5, 8.1］</t>
        </is>
      </c>
      <c r="F63" s="62" t="n"/>
      <c r="G63" s="60" t="inlineStr">
        <is>
          <t>Launch Brief 最終版</t>
        </is>
      </c>
      <c r="H63" s="63" t="n">
        <v>46406</v>
      </c>
      <c r="I63" s="63" t="n">
        <v>46406</v>
      </c>
      <c r="J63" s="64">
        <f>IF(AND(H63&lt;&gt;"",I63&lt;&gt;""),DAYS(I63,H63)+1,"")</f>
        <v/>
      </c>
      <c r="K63" s="65" t="n">
        <v>0</v>
      </c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  <c r="AO63" s="66" t="n"/>
      <c r="AP63" s="66" t="n"/>
      <c r="AQ63" s="66" t="n"/>
      <c r="AR63" s="66" t="n"/>
      <c r="AS63" s="66" t="n"/>
      <c r="AT63" s="66" t="n"/>
      <c r="AU63" s="66" t="n"/>
      <c r="AV63" s="66" t="n"/>
      <c r="AW63" s="66" t="n"/>
      <c r="AX63" s="66" t="n"/>
      <c r="AY63" s="66" t="n"/>
      <c r="AZ63" s="66" t="n"/>
      <c r="BA63" s="66" t="n"/>
      <c r="BB63" s="66" t="n"/>
      <c r="BC63" s="66" t="n"/>
      <c r="BD63" s="66" t="n"/>
      <c r="BE63" s="66" t="n"/>
      <c r="BF63" s="66" t="n"/>
      <c r="BG63" s="66" t="n"/>
      <c r="BH63" s="66" t="n"/>
      <c r="BI63" s="66" t="n"/>
      <c r="BJ63" s="66" t="n"/>
      <c r="BK63" s="66" t="n"/>
      <c r="BL63" s="66" t="n"/>
      <c r="BM63" s="66" t="n"/>
      <c r="BN63" s="66" t="n"/>
      <c r="BO63" s="66" t="n"/>
      <c r="BP63" s="66" t="n"/>
      <c r="BQ63" s="66" t="n"/>
      <c r="BR63" s="66" t="n"/>
      <c r="BS63" s="66" t="n"/>
      <c r="BT63" s="66" t="n"/>
      <c r="BU63" s="66" t="n"/>
      <c r="BV63" s="66" t="n"/>
      <c r="BW63" s="66" t="n"/>
      <c r="BX63" s="66" t="n"/>
      <c r="BY63" s="66" t="n"/>
      <c r="BZ63" s="66" t="n"/>
      <c r="CA63" s="66" t="n"/>
      <c r="CB63" s="66" t="n"/>
      <c r="CC63" s="66" t="n"/>
      <c r="CD63" s="66" t="n"/>
      <c r="CE63" s="66" t="n"/>
      <c r="CF63" s="66" t="n"/>
      <c r="CG63" s="66" t="n"/>
      <c r="CH63" s="66" t="n"/>
      <c r="CI63" s="66" t="n"/>
      <c r="CJ63" s="66" t="n"/>
      <c r="CK63" s="66" t="n"/>
      <c r="CL63" s="66" t="n"/>
      <c r="CM63" s="66" t="n"/>
    </row>
    <row r="64">
      <c r="A64" s="1" t="n"/>
      <c r="B64" s="59" t="inlineStr">
        <is>
          <t>8.3</t>
        </is>
      </c>
      <c r="C64" s="60" t="inlineStr">
        <is>
          <t>P8 開業・運用</t>
        </is>
      </c>
      <c r="D64" s="61" t="inlineStr">
        <is>
          <t>月次レビュー(予実差異→施策改善)</t>
        </is>
      </c>
      <c r="E64" s="61" t="inlineStr">
        <is>
          <t>毎月、予実差異とKPIを確認し改善施策を決める［担当: business-launch / launch-planning／協働］［依存: 8.2］</t>
        </is>
      </c>
      <c r="F64" s="62" t="n"/>
      <c r="G64" s="60" t="inlineStr">
        <is>
          <t>月次レビュー記録</t>
        </is>
      </c>
      <c r="H64" s="63" t="n">
        <v>46407</v>
      </c>
      <c r="I64" s="63" t="n">
        <v>46434</v>
      </c>
      <c r="J64" s="64">
        <f>IF(AND(H64&lt;&gt;"",I64&lt;&gt;""),DAYS(I64,H64)+1,"")</f>
        <v/>
      </c>
      <c r="K64" s="65" t="n">
        <v>0</v>
      </c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  <c r="AO64" s="66" t="n"/>
      <c r="AP64" s="66" t="n"/>
      <c r="AQ64" s="66" t="n"/>
      <c r="AR64" s="66" t="n"/>
      <c r="AS64" s="66" t="n"/>
      <c r="AT64" s="66" t="n"/>
      <c r="AU64" s="66" t="n"/>
      <c r="AV64" s="66" t="n"/>
      <c r="AW64" s="66" t="n"/>
      <c r="AX64" s="66" t="n"/>
      <c r="AY64" s="66" t="n"/>
      <c r="AZ64" s="66" t="n"/>
      <c r="BA64" s="66" t="n"/>
      <c r="BB64" s="66" t="n"/>
      <c r="BC64" s="66" t="n"/>
      <c r="BD64" s="66" t="n"/>
      <c r="BE64" s="66" t="n"/>
      <c r="BF64" s="66" t="n"/>
      <c r="BG64" s="66" t="n"/>
      <c r="BH64" s="66" t="n"/>
      <c r="BI64" s="66" t="n"/>
      <c r="BJ64" s="66" t="n"/>
      <c r="BK64" s="66" t="n"/>
      <c r="BL64" s="66" t="n"/>
      <c r="BM64" s="66" t="n"/>
      <c r="BN64" s="66" t="n"/>
      <c r="BO64" s="66" t="n"/>
      <c r="BP64" s="66" t="n"/>
      <c r="BQ64" s="66" t="n"/>
      <c r="BR64" s="66" t="n"/>
      <c r="BS64" s="66" t="n"/>
      <c r="BT64" s="66" t="n"/>
      <c r="BU64" s="66" t="n"/>
      <c r="BV64" s="66" t="n"/>
      <c r="BW64" s="66" t="n"/>
      <c r="BX64" s="66" t="n"/>
      <c r="BY64" s="66" t="n"/>
      <c r="BZ64" s="66" t="n"/>
      <c r="CA64" s="66" t="n"/>
      <c r="CB64" s="66" t="n"/>
      <c r="CC64" s="66" t="n"/>
      <c r="CD64" s="66" t="n"/>
      <c r="CE64" s="66" t="n"/>
      <c r="CF64" s="66" t="n"/>
      <c r="CG64" s="66" t="n"/>
      <c r="CH64" s="66" t="n"/>
      <c r="CI64" s="66" t="n"/>
      <c r="CJ64" s="66" t="n"/>
      <c r="CK64" s="66" t="n"/>
      <c r="CL64" s="66" t="n"/>
      <c r="CM64" s="66" t="n"/>
    </row>
  </sheetData>
  <mergeCells count="12">
    <mergeCell ref="I5:I7"/>
    <mergeCell ref="B5:B7"/>
    <mergeCell ref="D5:D7"/>
    <mergeCell ref="C5:C7"/>
    <mergeCell ref="G5:G7"/>
    <mergeCell ref="E5:E7"/>
    <mergeCell ref="K5:K7"/>
    <mergeCell ref="H5:H7"/>
    <mergeCell ref="F5:F7"/>
    <mergeCell ref="C3:D3"/>
    <mergeCell ref="J5:J7"/>
    <mergeCell ref="B2:J2"/>
  </mergeCells>
  <conditionalFormatting sqref="L8:CM64">
    <cfRule type="expression" priority="1" dxfId="0">
      <formula>AND($H8&lt;&gt;"",$I8&lt;&gt;"",L$6&gt;=$H8,L$6&lt;=$I8)</formula>
    </cfRule>
  </conditionalFormatting>
  <dataValidations count="1">
    <dataValidation sqref="F8:F64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2026-10-03T17:18:22Z</dcterms:created>
  <dcterms:modified xsi:type="dcterms:W3CDTF">2026-10-03T17:18:24Z</dcterms:modified>
</cp:coreProperties>
</file>