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/d"/>
    <numFmt numFmtId="166" formatCode="m/d/yy"/>
  </numFmts>
  <fonts count="9">
    <font>
      <name val="Calibri"/>
      <family val="2"/>
      <color theme="1"/>
      <sz val="11"/>
      <scheme val="minor"/>
    </font>
    <font>
      <name val="Corbel"/>
      <color theme="1"/>
      <sz val="12"/>
    </font>
    <font>
      <name val="Century Gothic"/>
      <b val="1"/>
      <color rgb="FF001033"/>
      <sz val="16"/>
    </font>
    <font>
      <name val="Arial"/>
      <color rgb="FF000000"/>
      <sz val="10"/>
      <scheme val="minor"/>
    </font>
    <font>
      <name val="Century Gothic"/>
      <b val="1"/>
      <color rgb="FFFFFFFF"/>
      <u val="single"/>
    </font>
    <font>
      <name val="Century Gothic"/>
      <b val="1"/>
      <color theme="1"/>
    </font>
    <font>
      <name val="Century Gothic"/>
      <b val="1"/>
      <color rgb="FFFFFFFF"/>
    </font>
    <font>
      <name val="Arial"/>
      <color theme="1"/>
      <scheme val="minor"/>
    </font>
    <font>
      <name val="Century Gothic"/>
      <color theme="1"/>
    </font>
  </fonts>
  <fills count="1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833C0B"/>
        <bgColor rgb="FF833C0B"/>
      </patternFill>
    </fill>
    <fill>
      <patternFill patternType="solid">
        <fgColor rgb="FFC55A11"/>
        <bgColor rgb="FFC55A11"/>
      </patternFill>
    </fill>
    <fill>
      <patternFill patternType="solid">
        <fgColor rgb="FFF7CAAC"/>
        <bgColor rgb="FFF7CAAC"/>
      </patternFill>
    </fill>
    <fill>
      <patternFill patternType="solid">
        <fgColor rgb="FF525252"/>
        <bgColor rgb="FF525252"/>
      </patternFill>
    </fill>
    <fill>
      <patternFill patternType="solid">
        <fgColor rgb="FF7B7B7B"/>
        <bgColor rgb="FF7B7B7B"/>
      </patternFill>
    </fill>
    <fill>
      <patternFill patternType="solid">
        <fgColor rgb="FFDADADA"/>
        <bgColor rgb="FFDADADA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2" fillId="2" borderId="2" pivotButton="0" quotePrefix="0" xfId="0"/>
    <xf numFmtId="0" fontId="4" fillId="0" borderId="3" pivotButton="0" quotePrefix="0" xfId="0"/>
    <xf numFmtId="0" fontId="5" fillId="3" borderId="4" applyAlignment="1" pivotButton="0" quotePrefix="0" xfId="0">
      <alignment wrapText="1"/>
    </xf>
    <xf numFmtId="164" fontId="1" fillId="0" borderId="4" pivotButton="0" quotePrefix="0" xfId="0"/>
    <xf numFmtId="0" fontId="0" fillId="0" borderId="10" pivotButton="0" quotePrefix="0" xfId="0"/>
    <xf numFmtId="164" fontId="1" fillId="0" borderId="1" pivotButton="0" quotePrefix="0" xfId="0"/>
    <xf numFmtId="0" fontId="1" fillId="0" borderId="1" pivotButton="0" quotePrefix="0" xfId="0"/>
    <xf numFmtId="0" fontId="6" fillId="4" borderId="14" pivotButton="0" quotePrefix="0" xfId="0"/>
    <xf numFmtId="0" fontId="1" fillId="4" borderId="17" pivotButton="0" quotePrefix="0" xfId="0"/>
    <xf numFmtId="0" fontId="6" fillId="7" borderId="14" pivotButton="0" quotePrefix="0" xfId="0"/>
    <xf numFmtId="0" fontId="1" fillId="7" borderId="17" pivotButton="0" quotePrefix="0" xfId="0"/>
    <xf numFmtId="0" fontId="6" fillId="10" borderId="14" pivotButton="0" quotePrefix="0" xfId="0"/>
    <xf numFmtId="0" fontId="1" fillId="10" borderId="17" pivotButton="0" quotePrefix="0" xfId="0"/>
    <xf numFmtId="0" fontId="6" fillId="13" borderId="14" pivotButton="0" quotePrefix="0" xfId="0"/>
    <xf numFmtId="0" fontId="1" fillId="13" borderId="17" pivotButton="0" quotePrefix="0" xfId="0"/>
    <xf numFmtId="0" fontId="1" fillId="13" borderId="19" pivotButton="0" quotePrefix="0" xfId="0"/>
    <xf numFmtId="0" fontId="1" fillId="2" borderId="2" applyAlignment="1" pivotButton="0" quotePrefix="0" xfId="0">
      <alignment vertical="bottom"/>
    </xf>
    <xf numFmtId="0" fontId="1" fillId="2" borderId="2" pivotButton="0" quotePrefix="0" xfId="0"/>
    <xf numFmtId="0" fontId="6" fillId="5" borderId="14" pivotButton="0" quotePrefix="0" xfId="0"/>
    <xf numFmtId="0" fontId="1" fillId="5" borderId="17" pivotButton="0" quotePrefix="0" xfId="0"/>
    <xf numFmtId="0" fontId="1" fillId="5" borderId="19" pivotButton="0" quotePrefix="0" xfId="0"/>
    <xf numFmtId="0" fontId="6" fillId="8" borderId="14" pivotButton="0" quotePrefix="0" xfId="0"/>
    <xf numFmtId="0" fontId="1" fillId="8" borderId="17" pivotButton="0" quotePrefix="0" xfId="0"/>
    <xf numFmtId="0" fontId="1" fillId="8" borderId="19" pivotButton="0" quotePrefix="0" xfId="0"/>
    <xf numFmtId="0" fontId="6" fillId="8" borderId="17" pivotButton="0" quotePrefix="0" xfId="0"/>
    <xf numFmtId="0" fontId="6" fillId="11" borderId="14" pivotButton="0" quotePrefix="0" xfId="0"/>
    <xf numFmtId="0" fontId="1" fillId="11" borderId="17" pivotButton="0" quotePrefix="0" xfId="0"/>
    <xf numFmtId="0" fontId="6" fillId="14" borderId="14" pivotButton="0" quotePrefix="0" xfId="0"/>
    <xf numFmtId="0" fontId="1" fillId="14" borderId="17" pivotButton="0" quotePrefix="0" xfId="0"/>
    <xf numFmtId="0" fontId="1" fillId="14" borderId="19" pivotButton="0" quotePrefix="0" xfId="0"/>
    <xf numFmtId="4" fontId="1" fillId="0" borderId="1" applyAlignment="1" pivotButton="0" quotePrefix="0" xfId="0">
      <alignment vertical="bottom"/>
    </xf>
    <xf numFmtId="0" fontId="0" fillId="0" borderId="12" pivotButton="0" quotePrefix="0" xfId="0"/>
    <xf numFmtId="165" fontId="5" fillId="6" borderId="15" applyAlignment="1" pivotButton="0" quotePrefix="0" xfId="0">
      <alignment horizontal="center" wrapText="1"/>
    </xf>
    <xf numFmtId="165" fontId="5" fillId="6" borderId="20" applyAlignment="1" pivotButton="0" quotePrefix="0" xfId="0">
      <alignment horizontal="center" wrapText="1"/>
    </xf>
    <xf numFmtId="165" fontId="5" fillId="6" borderId="21" applyAlignment="1" pivotButton="0" quotePrefix="0" xfId="0">
      <alignment horizontal="center" wrapText="1"/>
    </xf>
    <xf numFmtId="165" fontId="5" fillId="6" borderId="5" applyAlignment="1" pivotButton="0" quotePrefix="0" xfId="0">
      <alignment horizontal="center" wrapText="1"/>
    </xf>
    <xf numFmtId="165" fontId="5" fillId="9" borderId="22" applyAlignment="1" pivotButton="0" quotePrefix="0" xfId="0">
      <alignment horizontal="center" wrapText="1"/>
    </xf>
    <xf numFmtId="165" fontId="5" fillId="9" borderId="15" applyAlignment="1" pivotButton="0" quotePrefix="0" xfId="0">
      <alignment horizontal="center" wrapText="1"/>
    </xf>
    <xf numFmtId="165" fontId="5" fillId="9" borderId="23" applyAlignment="1" pivotButton="0" quotePrefix="0" xfId="0">
      <alignment horizontal="center" wrapText="1"/>
    </xf>
    <xf numFmtId="165" fontId="5" fillId="12" borderId="22" applyAlignment="1" pivotButton="0" quotePrefix="0" xfId="0">
      <alignment horizontal="center" wrapText="1"/>
    </xf>
    <xf numFmtId="165" fontId="5" fillId="12" borderId="15" applyAlignment="1" pivotButton="0" quotePrefix="0" xfId="0">
      <alignment horizontal="center" wrapText="1"/>
    </xf>
    <xf numFmtId="165" fontId="5" fillId="15" borderId="22" applyAlignment="1" pivotButton="0" quotePrefix="0" xfId="0">
      <alignment horizontal="center" wrapText="1"/>
    </xf>
    <xf numFmtId="165" fontId="5" fillId="15" borderId="15" applyAlignment="1" pivotButton="0" quotePrefix="0" xfId="0">
      <alignment horizontal="center" wrapText="1"/>
    </xf>
    <xf numFmtId="165" fontId="5" fillId="15" borderId="23" applyAlignment="1" pivotButton="0" quotePrefix="0" xfId="0">
      <alignment horizontal="center" wrapText="1"/>
    </xf>
    <xf numFmtId="0" fontId="0" fillId="0" borderId="13" pivotButton="0" quotePrefix="0" xfId="0"/>
    <xf numFmtId="0" fontId="5" fillId="6" borderId="16" applyAlignment="1" pivotButton="0" quotePrefix="0" xfId="0">
      <alignment horizontal="center" wrapText="1"/>
    </xf>
    <xf numFmtId="0" fontId="5" fillId="6" borderId="18" applyAlignment="1" pivotButton="0" quotePrefix="0" xfId="0">
      <alignment horizontal="center" wrapText="1"/>
    </xf>
    <xf numFmtId="0" fontId="5" fillId="6" borderId="4" applyAlignment="1" pivotButton="0" quotePrefix="0" xfId="0">
      <alignment horizontal="center" wrapText="1"/>
    </xf>
    <xf numFmtId="0" fontId="5" fillId="9" borderId="18" applyAlignment="1" pivotButton="0" quotePrefix="0" xfId="0">
      <alignment horizontal="center" wrapText="1"/>
    </xf>
    <xf numFmtId="0" fontId="5" fillId="12" borderId="18" applyAlignment="1" pivotButton="0" quotePrefix="0" xfId="0">
      <alignment horizontal="center" wrapText="1"/>
    </xf>
    <xf numFmtId="0" fontId="5" fillId="15" borderId="18" applyAlignment="1" pivotButton="0" quotePrefix="0" xfId="0">
      <alignment horizontal="center" wrapText="1"/>
    </xf>
    <xf numFmtId="49" fontId="7" fillId="16" borderId="1" pivotButton="0" quotePrefix="0" xfId="0"/>
    <xf numFmtId="0" fontId="7" fillId="16" borderId="1" pivotButton="0" quotePrefix="0" xfId="0"/>
    <xf numFmtId="166" fontId="1" fillId="16" borderId="18" pivotButton="0" quotePrefix="0" xfId="0"/>
    <xf numFmtId="1" fontId="1" fillId="16" borderId="18" pivotButton="0" quotePrefix="0" xfId="0"/>
    <xf numFmtId="9" fontId="1" fillId="16" borderId="18" pivotButton="0" quotePrefix="0" xfId="0"/>
    <xf numFmtId="0" fontId="1" fillId="16" borderId="4" applyAlignment="1" pivotButton="0" quotePrefix="0" xfId="0">
      <alignment vertical="bottom"/>
    </xf>
    <xf numFmtId="49" fontId="7" fillId="0" borderId="1" pivotButton="0" quotePrefix="0" xfId="0"/>
    <xf numFmtId="0" fontId="7" fillId="0" borderId="1" pivotButton="0" quotePrefix="0" xfId="0"/>
    <xf numFmtId="0" fontId="3" fillId="0" borderId="1" pivotButton="0" quotePrefix="0" xfId="0"/>
    <xf numFmtId="0" fontId="7" fillId="0" borderId="1" applyAlignment="1" pivotButton="0" quotePrefix="0" xfId="0">
      <alignment horizontal="center"/>
    </xf>
    <xf numFmtId="166" fontId="8" fillId="0" borderId="4" applyAlignment="1" pivotButton="0" quotePrefix="0" xfId="0">
      <alignment horizontal="center" wrapText="1"/>
    </xf>
    <xf numFmtId="1" fontId="8" fillId="0" borderId="4" applyAlignment="1" pivotButton="0" quotePrefix="0" xfId="0">
      <alignment horizontal="center" wrapText="1"/>
    </xf>
    <xf numFmtId="9" fontId="5" fillId="0" borderId="4" applyAlignment="1" pivotButton="0" quotePrefix="0" xfId="0">
      <alignment horizontal="center" wrapText="1"/>
    </xf>
    <xf numFmtId="0" fontId="1" fillId="0" borderId="4" applyAlignment="1" pivotButton="0" quotePrefix="0" xfId="0">
      <alignment vertical="bottom"/>
    </xf>
  </cellXfs>
  <cellStyles count="1">
    <cellStyle name="Normal" xfId="0" builtinId="0" hidden="0"/>
  </cellStyles>
  <dxfs count="1">
    <dxf>
      <fill>
        <patternFill patternType="solid">
          <fgColor rgb="FF4A86E8"/>
          <bgColor rgb="FF4A86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5"/>
  <sheetViews>
    <sheetView workbookViewId="0">
      <selection activeCell="A1" sqref="A1"/>
    </sheetView>
  </sheetViews>
  <sheetFormatPr baseColWidth="8" defaultRowHeight="15"/>
  <cols>
    <col width="3.25" customWidth="1" min="1" max="1"/>
    <col width="5.25" customWidth="1" min="2" max="2"/>
    <col width="28.63" customWidth="1" min="3" max="3"/>
    <col width="17.5" customWidth="1" min="4" max="4"/>
    <col width="21.38" customWidth="1" min="5" max="5"/>
    <col width="7.5" customWidth="1" min="6" max="6"/>
    <col width="20" customWidth="1" min="7" max="7"/>
    <col width="8.880000000000001" customWidth="1" min="10" max="10"/>
    <col width="13.5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WBS（作業分解構造）</t>
        </is>
      </c>
      <c r="K2" s="3" t="n"/>
    </row>
    <row r="3">
      <c r="A3" s="1" t="n"/>
      <c r="B3" s="4" t="inlineStr">
        <is>
          <t>Date</t>
        </is>
      </c>
      <c r="C3" s="5" t="n">
        <v>46328</v>
      </c>
      <c r="D3" s="6" t="n"/>
      <c r="E3" s="7" t="n"/>
      <c r="F3" s="8" t="n"/>
      <c r="G3" s="8" t="n"/>
      <c r="H3" s="8" t="n"/>
      <c r="I3" s="8" t="n"/>
      <c r="J3" s="8" t="n"/>
      <c r="K3" s="8" t="n"/>
      <c r="L3" s="9" t="inlineStr">
        <is>
          <t>Phase One</t>
        </is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1" t="inlineStr">
        <is>
          <t>Phase Two</t>
        </is>
      </c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3" t="inlineStr">
        <is>
          <t>Phase Three</t>
        </is>
      </c>
      <c r="AQ3" s="14" t="n"/>
      <c r="AR3" s="14" t="n"/>
      <c r="AS3" s="14" t="n"/>
      <c r="AT3" s="14" t="n"/>
      <c r="AU3" s="14" t="n"/>
      <c r="AV3" s="14" t="n"/>
      <c r="AW3" s="14" t="n"/>
      <c r="AX3" s="14" t="n"/>
      <c r="AY3" s="14" t="n"/>
      <c r="AZ3" s="14" t="n"/>
      <c r="BA3" s="14" t="n"/>
      <c r="BB3" s="14" t="n"/>
      <c r="BC3" s="14" t="n"/>
      <c r="BD3" s="14" t="n"/>
      <c r="BE3" s="15" t="inlineStr">
        <is>
          <t>Phase Four</t>
        </is>
      </c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7" t="n"/>
    </row>
    <row r="4">
      <c r="A4" s="18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</row>
    <row r="5">
      <c r="A5" s="1" t="n"/>
      <c r="B5" s="4" t="inlineStr">
        <is>
          <t>WBS Number</t>
        </is>
      </c>
      <c r="C5" s="4" t="inlineStr">
        <is>
          <t>フェーズ</t>
        </is>
      </c>
      <c r="D5" s="4" t="inlineStr">
        <is>
          <t>タスク</t>
        </is>
      </c>
      <c r="E5" s="4" t="inlineStr">
        <is>
          <t>定義</t>
        </is>
      </c>
      <c r="F5" s="4" t="inlineStr">
        <is>
          <t>完了</t>
        </is>
      </c>
      <c r="G5" s="4" t="inlineStr">
        <is>
          <t>アウトプット</t>
        </is>
      </c>
      <c r="H5" s="4" t="inlineStr">
        <is>
          <t>開始日</t>
        </is>
      </c>
      <c r="I5" s="4" t="inlineStr">
        <is>
          <t>完了日</t>
        </is>
      </c>
      <c r="J5" s="4" t="inlineStr">
        <is>
          <t>Duration</t>
        </is>
      </c>
      <c r="K5" s="4" t="inlineStr">
        <is>
          <t>% of Task Complete</t>
        </is>
      </c>
      <c r="L5" s="20" t="inlineStr">
        <is>
          <t>Week 1</t>
        </is>
      </c>
      <c r="M5" s="21" t="n"/>
      <c r="N5" s="21" t="n"/>
      <c r="O5" s="21" t="n"/>
      <c r="P5" s="22" t="n"/>
      <c r="Q5" s="20" t="inlineStr">
        <is>
          <t>Week 2</t>
        </is>
      </c>
      <c r="R5" s="21" t="n"/>
      <c r="S5" s="21" t="n"/>
      <c r="T5" s="21" t="n"/>
      <c r="U5" s="22" t="n"/>
      <c r="V5" s="20" t="inlineStr">
        <is>
          <t>Week 3</t>
        </is>
      </c>
      <c r="W5" s="21" t="n"/>
      <c r="X5" s="21" t="n"/>
      <c r="Y5" s="21" t="n"/>
      <c r="Z5" s="21" t="n"/>
      <c r="AA5" s="23" t="inlineStr">
        <is>
          <t>Week 4</t>
        </is>
      </c>
      <c r="AB5" s="24" t="n"/>
      <c r="AC5" s="24" t="n"/>
      <c r="AD5" s="24" t="n"/>
      <c r="AE5" s="25" t="n"/>
      <c r="AF5" s="26" t="inlineStr">
        <is>
          <t>Week 5</t>
        </is>
      </c>
      <c r="AG5" s="24" t="n"/>
      <c r="AH5" s="24" t="n"/>
      <c r="AI5" s="24" t="n"/>
      <c r="AJ5" s="25" t="n"/>
      <c r="AK5" s="26" t="inlineStr">
        <is>
          <t>Week 6</t>
        </is>
      </c>
      <c r="AL5" s="24" t="n"/>
      <c r="AM5" s="24" t="n"/>
      <c r="AN5" s="24" t="n"/>
      <c r="AO5" s="24" t="n"/>
      <c r="AP5" s="27" t="inlineStr">
        <is>
          <t>Week 7</t>
        </is>
      </c>
      <c r="AQ5" s="28" t="n"/>
      <c r="AR5" s="28" t="n"/>
      <c r="AS5" s="28" t="n"/>
      <c r="AT5" s="28" t="n"/>
      <c r="AU5" s="27" t="inlineStr">
        <is>
          <t>Week 8</t>
        </is>
      </c>
      <c r="AV5" s="28" t="n"/>
      <c r="AW5" s="28" t="n"/>
      <c r="AX5" s="28" t="n"/>
      <c r="AY5" s="28" t="n"/>
      <c r="AZ5" s="27" t="inlineStr">
        <is>
          <t>Week 9</t>
        </is>
      </c>
      <c r="BA5" s="28" t="n"/>
      <c r="BB5" s="28" t="n"/>
      <c r="BC5" s="28" t="n"/>
      <c r="BD5" s="28" t="n"/>
      <c r="BE5" s="29" t="inlineStr">
        <is>
          <t>Week 10</t>
        </is>
      </c>
      <c r="BF5" s="30" t="n"/>
      <c r="BG5" s="30" t="n"/>
      <c r="BH5" s="30" t="n"/>
      <c r="BI5" s="30" t="n"/>
      <c r="BJ5" s="29" t="inlineStr">
        <is>
          <t>Week 11</t>
        </is>
      </c>
      <c r="BK5" s="30" t="n"/>
      <c r="BL5" s="30" t="n"/>
      <c r="BM5" s="30" t="n"/>
      <c r="BN5" s="30" t="n"/>
      <c r="BO5" s="29" t="inlineStr">
        <is>
          <t>Week 12</t>
        </is>
      </c>
      <c r="BP5" s="30" t="n"/>
      <c r="BQ5" s="30" t="n"/>
      <c r="BR5" s="30" t="n"/>
      <c r="BS5" s="31" t="n"/>
    </row>
    <row r="6">
      <c r="A6" s="32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4">
        <f>$C$3-WEEKDAY($C$3,2)+1</f>
        <v/>
      </c>
      <c r="M6" s="34">
        <f>L6+1</f>
        <v/>
      </c>
      <c r="N6" s="34">
        <f>M6+1</f>
        <v/>
      </c>
      <c r="O6" s="34">
        <f>N6+1</f>
        <v/>
      </c>
      <c r="P6" s="34">
        <f>O6+1</f>
        <v/>
      </c>
      <c r="Q6" s="35">
        <f>P6+3</f>
        <v/>
      </c>
      <c r="R6" s="36">
        <f>Q6+1</f>
        <v/>
      </c>
      <c r="S6" s="36">
        <f>R6+1</f>
        <v/>
      </c>
      <c r="T6" s="36">
        <f>S6+1</f>
        <v/>
      </c>
      <c r="U6" s="37">
        <f>T6+1</f>
        <v/>
      </c>
      <c r="V6" s="35">
        <f>U6+3</f>
        <v/>
      </c>
      <c r="W6" s="36">
        <f>V6+1</f>
        <v/>
      </c>
      <c r="X6" s="36">
        <f>W6+1</f>
        <v/>
      </c>
      <c r="Y6" s="36">
        <f>X6+1</f>
        <v/>
      </c>
      <c r="Z6" s="36">
        <f>Y6+1</f>
        <v/>
      </c>
      <c r="AA6" s="38">
        <f>Z6+3</f>
        <v/>
      </c>
      <c r="AB6" s="39">
        <f>AA6+1</f>
        <v/>
      </c>
      <c r="AC6" s="39">
        <f>AB6+1</f>
        <v/>
      </c>
      <c r="AD6" s="39">
        <f>AC6+1</f>
        <v/>
      </c>
      <c r="AE6" s="40">
        <f>AD6+1</f>
        <v/>
      </c>
      <c r="AF6" s="39">
        <f>AE6+3</f>
        <v/>
      </c>
      <c r="AG6" s="39">
        <f>AF6+1</f>
        <v/>
      </c>
      <c r="AH6" s="39">
        <f>AG6+1</f>
        <v/>
      </c>
      <c r="AI6" s="39">
        <f>AH6+1</f>
        <v/>
      </c>
      <c r="AJ6" s="40">
        <f>AI6+1</f>
        <v/>
      </c>
      <c r="AK6" s="39">
        <f>AJ6+3</f>
        <v/>
      </c>
      <c r="AL6" s="39">
        <f>AK6+1</f>
        <v/>
      </c>
      <c r="AM6" s="39">
        <f>AL6+1</f>
        <v/>
      </c>
      <c r="AN6" s="39">
        <f>AM6+1</f>
        <v/>
      </c>
      <c r="AO6" s="39">
        <f>AN6+1</f>
        <v/>
      </c>
      <c r="AP6" s="41">
        <f>AO6+3</f>
        <v/>
      </c>
      <c r="AQ6" s="42">
        <f>AP6+1</f>
        <v/>
      </c>
      <c r="AR6" s="42">
        <f>AQ6+1</f>
        <v/>
      </c>
      <c r="AS6" s="42">
        <f>AR6+1</f>
        <v/>
      </c>
      <c r="AT6" s="42">
        <f>AS6+1</f>
        <v/>
      </c>
      <c r="AU6" s="41">
        <f>AT6+3</f>
        <v/>
      </c>
      <c r="AV6" s="42">
        <f>AU6+1</f>
        <v/>
      </c>
      <c r="AW6" s="42">
        <f>AV6+1</f>
        <v/>
      </c>
      <c r="AX6" s="42">
        <f>AW6+1</f>
        <v/>
      </c>
      <c r="AY6" s="42">
        <f>AX6+1</f>
        <v/>
      </c>
      <c r="AZ6" s="41">
        <f>AY6+3</f>
        <v/>
      </c>
      <c r="BA6" s="42">
        <f>AZ6+1</f>
        <v/>
      </c>
      <c r="BB6" s="42">
        <f>BA6+1</f>
        <v/>
      </c>
      <c r="BC6" s="42">
        <f>BB6+1</f>
        <v/>
      </c>
      <c r="BD6" s="42">
        <f>BC6+1</f>
        <v/>
      </c>
      <c r="BE6" s="43">
        <f>BD6+3</f>
        <v/>
      </c>
      <c r="BF6" s="44">
        <f>BE6+1</f>
        <v/>
      </c>
      <c r="BG6" s="44">
        <f>BF6+1</f>
        <v/>
      </c>
      <c r="BH6" s="44">
        <f>BG6+1</f>
        <v/>
      </c>
      <c r="BI6" s="44">
        <f>BH6+1</f>
        <v/>
      </c>
      <c r="BJ6" s="43">
        <f>BI6+3</f>
        <v/>
      </c>
      <c r="BK6" s="44">
        <f>BJ6+1</f>
        <v/>
      </c>
      <c r="BL6" s="44">
        <f>BK6+1</f>
        <v/>
      </c>
      <c r="BM6" s="44">
        <f>BL6+1</f>
        <v/>
      </c>
      <c r="BN6" s="44">
        <f>BM6+1</f>
        <v/>
      </c>
      <c r="BO6" s="43">
        <f>BN6+3</f>
        <v/>
      </c>
      <c r="BP6" s="44">
        <f>BO6+1</f>
        <v/>
      </c>
      <c r="BQ6" s="44">
        <f>BP6+1</f>
        <v/>
      </c>
      <c r="BR6" s="44">
        <f>BQ6+1</f>
        <v/>
      </c>
      <c r="BS6" s="45">
        <f>BR6+1</f>
        <v/>
      </c>
    </row>
    <row r="7">
      <c r="A7" s="32" t="n"/>
      <c r="B7" s="46" t="n"/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7" t="inlineStr">
        <is>
          <t>M</t>
        </is>
      </c>
      <c r="M7" s="48" t="inlineStr">
        <is>
          <t>T</t>
        </is>
      </c>
      <c r="N7" s="48" t="inlineStr">
        <is>
          <t>W</t>
        </is>
      </c>
      <c r="O7" s="48" t="inlineStr">
        <is>
          <t>R</t>
        </is>
      </c>
      <c r="P7" s="48" t="inlineStr">
        <is>
          <t>F</t>
        </is>
      </c>
      <c r="Q7" s="49" t="inlineStr">
        <is>
          <t>M</t>
        </is>
      </c>
      <c r="R7" s="49" t="inlineStr">
        <is>
          <t>T</t>
        </is>
      </c>
      <c r="S7" s="49" t="inlineStr">
        <is>
          <t>W</t>
        </is>
      </c>
      <c r="T7" s="49" t="inlineStr">
        <is>
          <t>R</t>
        </is>
      </c>
      <c r="U7" s="49" t="inlineStr">
        <is>
          <t>F</t>
        </is>
      </c>
      <c r="V7" s="49" t="inlineStr">
        <is>
          <t>M</t>
        </is>
      </c>
      <c r="W7" s="49" t="inlineStr">
        <is>
          <t>T</t>
        </is>
      </c>
      <c r="X7" s="49" t="inlineStr">
        <is>
          <t>W</t>
        </is>
      </c>
      <c r="Y7" s="49" t="inlineStr">
        <is>
          <t>R</t>
        </is>
      </c>
      <c r="Z7" s="49" t="inlineStr">
        <is>
          <t>F</t>
        </is>
      </c>
      <c r="AA7" s="50" t="inlineStr">
        <is>
          <t>M</t>
        </is>
      </c>
      <c r="AB7" s="50" t="inlineStr">
        <is>
          <t>T</t>
        </is>
      </c>
      <c r="AC7" s="50" t="inlineStr">
        <is>
          <t>W</t>
        </is>
      </c>
      <c r="AD7" s="50" t="inlineStr">
        <is>
          <t>R</t>
        </is>
      </c>
      <c r="AE7" s="50" t="inlineStr">
        <is>
          <t>F</t>
        </is>
      </c>
      <c r="AF7" s="50" t="inlineStr">
        <is>
          <t>M</t>
        </is>
      </c>
      <c r="AG7" s="50" t="inlineStr">
        <is>
          <t>T</t>
        </is>
      </c>
      <c r="AH7" s="50" t="inlineStr">
        <is>
          <t>W</t>
        </is>
      </c>
      <c r="AI7" s="50" t="inlineStr">
        <is>
          <t>R</t>
        </is>
      </c>
      <c r="AJ7" s="50" t="inlineStr">
        <is>
          <t>F</t>
        </is>
      </c>
      <c r="AK7" s="50" t="inlineStr">
        <is>
          <t>M</t>
        </is>
      </c>
      <c r="AL7" s="50" t="inlineStr">
        <is>
          <t>T</t>
        </is>
      </c>
      <c r="AM7" s="50" t="inlineStr">
        <is>
          <t>W</t>
        </is>
      </c>
      <c r="AN7" s="50" t="inlineStr">
        <is>
          <t>R</t>
        </is>
      </c>
      <c r="AO7" s="50" t="inlineStr">
        <is>
          <t>F</t>
        </is>
      </c>
      <c r="AP7" s="51" t="inlineStr">
        <is>
          <t>M</t>
        </is>
      </c>
      <c r="AQ7" s="51" t="inlineStr">
        <is>
          <t>T</t>
        </is>
      </c>
      <c r="AR7" s="51" t="inlineStr">
        <is>
          <t>W</t>
        </is>
      </c>
      <c r="AS7" s="51" t="inlineStr">
        <is>
          <t>R</t>
        </is>
      </c>
      <c r="AT7" s="51" t="inlineStr">
        <is>
          <t>F</t>
        </is>
      </c>
      <c r="AU7" s="51" t="inlineStr">
        <is>
          <t>M</t>
        </is>
      </c>
      <c r="AV7" s="51" t="inlineStr">
        <is>
          <t>T</t>
        </is>
      </c>
      <c r="AW7" s="51" t="inlineStr">
        <is>
          <t>W</t>
        </is>
      </c>
      <c r="AX7" s="51" t="inlineStr">
        <is>
          <t>R</t>
        </is>
      </c>
      <c r="AY7" s="51" t="inlineStr">
        <is>
          <t>F</t>
        </is>
      </c>
      <c r="AZ7" s="51" t="inlineStr">
        <is>
          <t>M</t>
        </is>
      </c>
      <c r="BA7" s="51" t="inlineStr">
        <is>
          <t>T</t>
        </is>
      </c>
      <c r="BB7" s="51" t="inlineStr">
        <is>
          <t>W</t>
        </is>
      </c>
      <c r="BC7" s="51" t="inlineStr">
        <is>
          <t>R</t>
        </is>
      </c>
      <c r="BD7" s="51" t="inlineStr">
        <is>
          <t>F</t>
        </is>
      </c>
      <c r="BE7" s="52" t="inlineStr">
        <is>
          <t>M</t>
        </is>
      </c>
      <c r="BF7" s="52" t="inlineStr">
        <is>
          <t>T</t>
        </is>
      </c>
      <c r="BG7" s="52" t="inlineStr">
        <is>
          <t>W</t>
        </is>
      </c>
      <c r="BH7" s="52" t="inlineStr">
        <is>
          <t>R</t>
        </is>
      </c>
      <c r="BI7" s="52" t="inlineStr">
        <is>
          <t>F</t>
        </is>
      </c>
      <c r="BJ7" s="52" t="inlineStr">
        <is>
          <t>M</t>
        </is>
      </c>
      <c r="BK7" s="52" t="inlineStr">
        <is>
          <t>T</t>
        </is>
      </c>
      <c r="BL7" s="52" t="inlineStr">
        <is>
          <t>W</t>
        </is>
      </c>
      <c r="BM7" s="52" t="inlineStr">
        <is>
          <t>R</t>
        </is>
      </c>
      <c r="BN7" s="52" t="inlineStr">
        <is>
          <t>F</t>
        </is>
      </c>
      <c r="BO7" s="52" t="inlineStr">
        <is>
          <t>M</t>
        </is>
      </c>
      <c r="BP7" s="52" t="inlineStr">
        <is>
          <t>T</t>
        </is>
      </c>
      <c r="BQ7" s="52" t="inlineStr">
        <is>
          <t>W</t>
        </is>
      </c>
      <c r="BR7" s="52" t="inlineStr">
        <is>
          <t>R</t>
        </is>
      </c>
      <c r="BS7" s="52" t="inlineStr">
        <is>
          <t>F</t>
        </is>
      </c>
    </row>
    <row r="8">
      <c r="A8" s="1" t="n"/>
      <c r="B8" s="53" t="inlineStr">
        <is>
          <t>1</t>
        </is>
      </c>
      <c r="C8" s="54" t="inlineStr">
        <is>
          <t>（フェーズ名）</t>
        </is>
      </c>
      <c r="D8" s="54" t="inlineStr">
        <is>
          <t>（フェーズの目的）</t>
        </is>
      </c>
      <c r="E8" s="54" t="inlineStr">
        <is>
          <t>（完了条件）</t>
        </is>
      </c>
      <c r="F8" s="54" t="n"/>
      <c r="G8" s="54" t="n"/>
      <c r="H8" s="55" t="n"/>
      <c r="I8" s="55" t="n"/>
      <c r="J8" s="56" t="n"/>
      <c r="K8" s="57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  <c r="AA8" s="58" t="n"/>
      <c r="AB8" s="58" t="n"/>
      <c r="AC8" s="58" t="n"/>
      <c r="AD8" s="58" t="n"/>
      <c r="AE8" s="58" t="n"/>
      <c r="AF8" s="58" t="n"/>
      <c r="AG8" s="58" t="n"/>
      <c r="AH8" s="58" t="n"/>
      <c r="AI8" s="58" t="n"/>
      <c r="AJ8" s="58" t="n"/>
      <c r="AK8" s="58" t="n"/>
      <c r="AL8" s="58" t="n"/>
      <c r="AM8" s="58" t="n"/>
      <c r="AN8" s="58" t="n"/>
      <c r="AO8" s="58" t="n"/>
      <c r="AP8" s="58" t="n"/>
      <c r="AQ8" s="58" t="n"/>
      <c r="AR8" s="58" t="n"/>
      <c r="AS8" s="58" t="n"/>
      <c r="AT8" s="58" t="n"/>
      <c r="AU8" s="58" t="n"/>
      <c r="AV8" s="58" t="n"/>
      <c r="AW8" s="58" t="n"/>
      <c r="AX8" s="58" t="n"/>
      <c r="AY8" s="58" t="n"/>
      <c r="AZ8" s="58" t="n"/>
      <c r="BA8" s="58" t="n"/>
      <c r="BB8" s="58" t="n"/>
      <c r="BC8" s="58" t="n"/>
      <c r="BD8" s="58" t="n"/>
      <c r="BE8" s="58" t="n"/>
      <c r="BF8" s="58" t="n"/>
      <c r="BG8" s="58" t="n"/>
      <c r="BH8" s="58" t="n"/>
      <c r="BI8" s="58" t="n"/>
      <c r="BJ8" s="58" t="n"/>
      <c r="BK8" s="58" t="n"/>
      <c r="BL8" s="58" t="n"/>
      <c r="BM8" s="58" t="n"/>
      <c r="BN8" s="58" t="n"/>
      <c r="BO8" s="58" t="n"/>
      <c r="BP8" s="58" t="n"/>
      <c r="BQ8" s="58" t="n"/>
      <c r="BR8" s="58" t="n"/>
      <c r="BS8" s="58" t="n"/>
    </row>
    <row r="9">
      <c r="A9" s="1" t="n"/>
      <c r="B9" s="59" t="inlineStr">
        <is>
          <t>1.1</t>
        </is>
      </c>
      <c r="C9" s="60" t="inlineStr">
        <is>
          <t>（フェーズ名）</t>
        </is>
      </c>
      <c r="D9" s="61" t="inlineStr">
        <is>
          <t>（タスク名）</t>
        </is>
      </c>
      <c r="E9" s="61" t="inlineStr">
        <is>
          <t>（定義・完了条件）</t>
        </is>
      </c>
      <c r="F9" s="62" t="n"/>
      <c r="G9" s="60" t="inlineStr">
        <is>
          <t>（成果物）</t>
        </is>
      </c>
      <c r="H9" s="63" t="n"/>
      <c r="I9" s="63" t="n"/>
      <c r="J9" s="64">
        <f>IF(AND(H9&lt;&gt;"",I9&lt;&gt;""),DAYS(I9,H9)+1,"")</f>
        <v/>
      </c>
      <c r="K9" s="65" t="n">
        <v>0</v>
      </c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66" t="n"/>
      <c r="BJ9" s="66" t="n"/>
      <c r="BK9" s="66" t="n"/>
      <c r="BL9" s="66" t="n"/>
      <c r="BM9" s="66" t="n"/>
      <c r="BN9" s="66" t="n"/>
      <c r="BO9" s="66" t="n"/>
      <c r="BP9" s="66" t="n"/>
      <c r="BQ9" s="66" t="n"/>
      <c r="BR9" s="66" t="n"/>
      <c r="BS9" s="66" t="n"/>
    </row>
    <row r="10">
      <c r="A10" s="1" t="n"/>
      <c r="B10" s="59" t="inlineStr">
        <is>
          <t>1.2</t>
        </is>
      </c>
      <c r="C10" s="60" t="inlineStr">
        <is>
          <t>（フェーズ名）</t>
        </is>
      </c>
      <c r="D10" s="61" t="inlineStr">
        <is>
          <t>（タスク名）</t>
        </is>
      </c>
      <c r="E10" s="61" t="inlineStr">
        <is>
          <t>（定義・完了条件）</t>
        </is>
      </c>
      <c r="F10" s="62" t="n"/>
      <c r="G10" s="60" t="inlineStr">
        <is>
          <t>（成果物）</t>
        </is>
      </c>
      <c r="H10" s="63" t="n"/>
      <c r="I10" s="63" t="n"/>
      <c r="J10" s="64">
        <f>IF(AND(H10&lt;&gt;"",I10&lt;&gt;""),DAYS(I10,H10)+1,"")</f>
        <v/>
      </c>
      <c r="K10" s="65" t="n">
        <v>0</v>
      </c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66" t="n"/>
      <c r="BJ10" s="66" t="n"/>
      <c r="BK10" s="66" t="n"/>
      <c r="BL10" s="66" t="n"/>
      <c r="BM10" s="66" t="n"/>
      <c r="BN10" s="66" t="n"/>
      <c r="BO10" s="66" t="n"/>
      <c r="BP10" s="66" t="n"/>
      <c r="BQ10" s="66" t="n"/>
      <c r="BR10" s="66" t="n"/>
      <c r="BS10" s="66" t="n"/>
    </row>
    <row r="11">
      <c r="A11" s="1" t="n"/>
      <c r="B11" s="59" t="inlineStr">
        <is>
          <t>1.3</t>
        </is>
      </c>
      <c r="C11" s="60" t="inlineStr">
        <is>
          <t>（フェーズ名）</t>
        </is>
      </c>
      <c r="D11" s="61" t="inlineStr">
        <is>
          <t>（タスク名）</t>
        </is>
      </c>
      <c r="E11" s="61" t="inlineStr">
        <is>
          <t>（定義・完了条件）</t>
        </is>
      </c>
      <c r="F11" s="62" t="n"/>
      <c r="G11" s="60" t="inlineStr">
        <is>
          <t>（成果物）</t>
        </is>
      </c>
      <c r="H11" s="63" t="n"/>
      <c r="I11" s="63" t="n"/>
      <c r="J11" s="64">
        <f>IF(AND(H11&lt;&gt;"",I11&lt;&gt;""),DAYS(I11,H11)+1,"")</f>
        <v/>
      </c>
      <c r="K11" s="65" t="n">
        <v>0</v>
      </c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66" t="n"/>
      <c r="BJ11" s="66" t="n"/>
      <c r="BK11" s="66" t="n"/>
      <c r="BL11" s="66" t="n"/>
      <c r="BM11" s="66" t="n"/>
      <c r="BN11" s="66" t="n"/>
      <c r="BO11" s="66" t="n"/>
      <c r="BP11" s="66" t="n"/>
      <c r="BQ11" s="66" t="n"/>
      <c r="BR11" s="66" t="n"/>
      <c r="BS11" s="66" t="n"/>
    </row>
    <row r="12">
      <c r="A12" s="1" t="n"/>
      <c r="B12" s="59" t="inlineStr">
        <is>
          <t>1.4</t>
        </is>
      </c>
      <c r="C12" s="60" t="inlineStr">
        <is>
          <t>（フェーズ名）</t>
        </is>
      </c>
      <c r="D12" s="61" t="inlineStr">
        <is>
          <t>（タスク名）</t>
        </is>
      </c>
      <c r="E12" s="61" t="inlineStr">
        <is>
          <t>（定義・完了条件）</t>
        </is>
      </c>
      <c r="F12" s="62" t="n"/>
      <c r="G12" s="60" t="inlineStr">
        <is>
          <t>（成果物）</t>
        </is>
      </c>
      <c r="H12" s="63" t="n"/>
      <c r="I12" s="63" t="n"/>
      <c r="J12" s="64">
        <f>IF(AND(H12&lt;&gt;"",I12&lt;&gt;""),DAYS(I12,H12)+1,"")</f>
        <v/>
      </c>
      <c r="K12" s="65" t="n">
        <v>0</v>
      </c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66" t="n"/>
      <c r="BJ12" s="66" t="n"/>
      <c r="BK12" s="66" t="n"/>
      <c r="BL12" s="66" t="n"/>
      <c r="BM12" s="66" t="n"/>
      <c r="BN12" s="66" t="n"/>
      <c r="BO12" s="66" t="n"/>
      <c r="BP12" s="66" t="n"/>
      <c r="BQ12" s="66" t="n"/>
      <c r="BR12" s="66" t="n"/>
      <c r="BS12" s="66" t="n"/>
    </row>
    <row r="13">
      <c r="A13" s="1" t="n"/>
      <c r="B13" s="59" t="inlineStr">
        <is>
          <t>1.5</t>
        </is>
      </c>
      <c r="C13" s="60" t="inlineStr">
        <is>
          <t>（フェーズ名）</t>
        </is>
      </c>
      <c r="D13" s="61" t="inlineStr">
        <is>
          <t>（タスク名）</t>
        </is>
      </c>
      <c r="E13" s="61" t="inlineStr">
        <is>
          <t>（定義・完了条件）</t>
        </is>
      </c>
      <c r="F13" s="62" t="n"/>
      <c r="G13" s="60" t="inlineStr">
        <is>
          <t>（成果物）</t>
        </is>
      </c>
      <c r="H13" s="63" t="n"/>
      <c r="I13" s="63" t="n"/>
      <c r="J13" s="64">
        <f>IF(AND(H13&lt;&gt;"",I13&lt;&gt;""),DAYS(I13,H13)+1,"")</f>
        <v/>
      </c>
      <c r="K13" s="65" t="n">
        <v>0</v>
      </c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66" t="n"/>
      <c r="BJ13" s="66" t="n"/>
      <c r="BK13" s="66" t="n"/>
      <c r="BL13" s="66" t="n"/>
      <c r="BM13" s="66" t="n"/>
      <c r="BN13" s="66" t="n"/>
      <c r="BO13" s="66" t="n"/>
      <c r="BP13" s="66" t="n"/>
      <c r="BQ13" s="66" t="n"/>
      <c r="BR13" s="66" t="n"/>
      <c r="BS13" s="66" t="n"/>
    </row>
    <row r="14">
      <c r="A14" s="1" t="n"/>
      <c r="B14" s="59" t="inlineStr">
        <is>
          <t>1.6</t>
        </is>
      </c>
      <c r="C14" s="60" t="inlineStr">
        <is>
          <t>（フェーズ名）</t>
        </is>
      </c>
      <c r="D14" s="61" t="inlineStr">
        <is>
          <t>（タスク名）</t>
        </is>
      </c>
      <c r="E14" s="61" t="inlineStr">
        <is>
          <t>（定義・完了条件）</t>
        </is>
      </c>
      <c r="F14" s="62" t="n"/>
      <c r="G14" s="60" t="inlineStr">
        <is>
          <t>（成果物）</t>
        </is>
      </c>
      <c r="H14" s="63" t="n"/>
      <c r="I14" s="63" t="n"/>
      <c r="J14" s="64">
        <f>IF(AND(H14&lt;&gt;"",I14&lt;&gt;""),DAYS(I14,H14)+1,"")</f>
        <v/>
      </c>
      <c r="K14" s="65" t="n">
        <v>0</v>
      </c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66" t="n"/>
      <c r="BJ14" s="66" t="n"/>
      <c r="BK14" s="66" t="n"/>
      <c r="BL14" s="66" t="n"/>
      <c r="BM14" s="66" t="n"/>
      <c r="BN14" s="66" t="n"/>
      <c r="BO14" s="66" t="n"/>
      <c r="BP14" s="66" t="n"/>
      <c r="BQ14" s="66" t="n"/>
      <c r="BR14" s="66" t="n"/>
      <c r="BS14" s="66" t="n"/>
    </row>
    <row r="15">
      <c r="A15" s="1" t="n"/>
      <c r="B15" s="53" t="inlineStr">
        <is>
          <t>2</t>
        </is>
      </c>
      <c r="C15" s="54" t="inlineStr">
        <is>
          <t>（フェーズ名）</t>
        </is>
      </c>
      <c r="D15" s="54" t="inlineStr">
        <is>
          <t>（フェーズの目的）</t>
        </is>
      </c>
      <c r="E15" s="54" t="inlineStr">
        <is>
          <t>（完了条件）</t>
        </is>
      </c>
      <c r="F15" s="54" t="n"/>
      <c r="G15" s="54" t="n"/>
      <c r="H15" s="55" t="n"/>
      <c r="I15" s="55" t="n"/>
      <c r="J15" s="56" t="n"/>
      <c r="K15" s="57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  <c r="Z15" s="58" t="n"/>
      <c r="AA15" s="58" t="n"/>
      <c r="AB15" s="58" t="n"/>
      <c r="AC15" s="58" t="n"/>
      <c r="AD15" s="58" t="n"/>
      <c r="AE15" s="58" t="n"/>
      <c r="AF15" s="58" t="n"/>
      <c r="AG15" s="58" t="n"/>
      <c r="AH15" s="58" t="n"/>
      <c r="AI15" s="58" t="n"/>
      <c r="AJ15" s="58" t="n"/>
      <c r="AK15" s="58" t="n"/>
      <c r="AL15" s="58" t="n"/>
      <c r="AM15" s="58" t="n"/>
      <c r="AN15" s="58" t="n"/>
      <c r="AO15" s="58" t="n"/>
      <c r="AP15" s="58" t="n"/>
      <c r="AQ15" s="58" t="n"/>
      <c r="AR15" s="58" t="n"/>
      <c r="AS15" s="58" t="n"/>
      <c r="AT15" s="58" t="n"/>
      <c r="AU15" s="58" t="n"/>
      <c r="AV15" s="58" t="n"/>
      <c r="AW15" s="58" t="n"/>
      <c r="AX15" s="58" t="n"/>
      <c r="AY15" s="58" t="n"/>
      <c r="AZ15" s="58" t="n"/>
      <c r="BA15" s="58" t="n"/>
      <c r="BB15" s="58" t="n"/>
      <c r="BC15" s="58" t="n"/>
      <c r="BD15" s="58" t="n"/>
      <c r="BE15" s="58" t="n"/>
      <c r="BF15" s="58" t="n"/>
      <c r="BG15" s="58" t="n"/>
      <c r="BH15" s="58" t="n"/>
      <c r="BI15" s="58" t="n"/>
      <c r="BJ15" s="58" t="n"/>
      <c r="BK15" s="58" t="n"/>
      <c r="BL15" s="58" t="n"/>
      <c r="BM15" s="58" t="n"/>
      <c r="BN15" s="58" t="n"/>
      <c r="BO15" s="58" t="n"/>
      <c r="BP15" s="58" t="n"/>
      <c r="BQ15" s="58" t="n"/>
      <c r="BR15" s="58" t="n"/>
      <c r="BS15" s="58" t="n"/>
    </row>
    <row r="16">
      <c r="A16" s="1" t="n"/>
      <c r="B16" s="59" t="inlineStr">
        <is>
          <t>2.1</t>
        </is>
      </c>
      <c r="C16" s="60" t="inlineStr">
        <is>
          <t>（フェーズ名）</t>
        </is>
      </c>
      <c r="D16" s="61" t="inlineStr">
        <is>
          <t>（タスク名）</t>
        </is>
      </c>
      <c r="E16" s="61" t="inlineStr">
        <is>
          <t>（定義・完了条件）</t>
        </is>
      </c>
      <c r="F16" s="62" t="n"/>
      <c r="G16" s="60" t="inlineStr">
        <is>
          <t>（成果物）</t>
        </is>
      </c>
      <c r="H16" s="63" t="n"/>
      <c r="I16" s="63" t="n"/>
      <c r="J16" s="64">
        <f>IF(AND(H16&lt;&gt;"",I16&lt;&gt;""),DAYS(I16,H16)+1,"")</f>
        <v/>
      </c>
      <c r="K16" s="65" t="n">
        <v>0</v>
      </c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66" t="n"/>
      <c r="BJ16" s="66" t="n"/>
      <c r="BK16" s="66" t="n"/>
      <c r="BL16" s="66" t="n"/>
      <c r="BM16" s="66" t="n"/>
      <c r="BN16" s="66" t="n"/>
      <c r="BO16" s="66" t="n"/>
      <c r="BP16" s="66" t="n"/>
      <c r="BQ16" s="66" t="n"/>
      <c r="BR16" s="66" t="n"/>
      <c r="BS16" s="66" t="n"/>
    </row>
    <row r="17">
      <c r="A17" s="1" t="n"/>
      <c r="B17" s="59" t="inlineStr">
        <is>
          <t>2.2</t>
        </is>
      </c>
      <c r="C17" s="60" t="inlineStr">
        <is>
          <t>（フェーズ名）</t>
        </is>
      </c>
      <c r="D17" s="61" t="inlineStr">
        <is>
          <t>（タスク名）</t>
        </is>
      </c>
      <c r="E17" s="61" t="inlineStr">
        <is>
          <t>（定義・完了条件）</t>
        </is>
      </c>
      <c r="F17" s="62" t="n"/>
      <c r="G17" s="60" t="inlineStr">
        <is>
          <t>（成果物）</t>
        </is>
      </c>
      <c r="H17" s="63" t="n"/>
      <c r="I17" s="63" t="n"/>
      <c r="J17" s="64">
        <f>IF(AND(H17&lt;&gt;"",I17&lt;&gt;""),DAYS(I17,H17)+1,"")</f>
        <v/>
      </c>
      <c r="K17" s="65" t="n">
        <v>0</v>
      </c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66" t="n"/>
      <c r="BJ17" s="66" t="n"/>
      <c r="BK17" s="66" t="n"/>
      <c r="BL17" s="66" t="n"/>
      <c r="BM17" s="66" t="n"/>
      <c r="BN17" s="66" t="n"/>
      <c r="BO17" s="66" t="n"/>
      <c r="BP17" s="66" t="n"/>
      <c r="BQ17" s="66" t="n"/>
      <c r="BR17" s="66" t="n"/>
      <c r="BS17" s="66" t="n"/>
    </row>
    <row r="18">
      <c r="A18" s="1" t="n"/>
      <c r="B18" s="59" t="inlineStr">
        <is>
          <t>2.3</t>
        </is>
      </c>
      <c r="C18" s="60" t="inlineStr">
        <is>
          <t>（フェーズ名）</t>
        </is>
      </c>
      <c r="D18" s="61" t="inlineStr">
        <is>
          <t>（タスク名）</t>
        </is>
      </c>
      <c r="E18" s="61" t="inlineStr">
        <is>
          <t>（定義・完了条件）</t>
        </is>
      </c>
      <c r="F18" s="62" t="n"/>
      <c r="G18" s="60" t="inlineStr">
        <is>
          <t>（成果物）</t>
        </is>
      </c>
      <c r="H18" s="63" t="n"/>
      <c r="I18" s="63" t="n"/>
      <c r="J18" s="64">
        <f>IF(AND(H18&lt;&gt;"",I18&lt;&gt;""),DAYS(I18,H18)+1,"")</f>
        <v/>
      </c>
      <c r="K18" s="65" t="n">
        <v>0</v>
      </c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66" t="n"/>
      <c r="BJ18" s="66" t="n"/>
      <c r="BK18" s="66" t="n"/>
      <c r="BL18" s="66" t="n"/>
      <c r="BM18" s="66" t="n"/>
      <c r="BN18" s="66" t="n"/>
      <c r="BO18" s="66" t="n"/>
      <c r="BP18" s="66" t="n"/>
      <c r="BQ18" s="66" t="n"/>
      <c r="BR18" s="66" t="n"/>
      <c r="BS18" s="66" t="n"/>
    </row>
    <row r="19">
      <c r="A19" s="1" t="n"/>
      <c r="B19" s="59" t="inlineStr">
        <is>
          <t>2.4</t>
        </is>
      </c>
      <c r="C19" s="60" t="inlineStr">
        <is>
          <t>（フェーズ名）</t>
        </is>
      </c>
      <c r="D19" s="61" t="inlineStr">
        <is>
          <t>（タスク名）</t>
        </is>
      </c>
      <c r="E19" s="61" t="inlineStr">
        <is>
          <t>（定義・完了条件）</t>
        </is>
      </c>
      <c r="F19" s="62" t="n"/>
      <c r="G19" s="60" t="inlineStr">
        <is>
          <t>（成果物）</t>
        </is>
      </c>
      <c r="H19" s="63" t="n"/>
      <c r="I19" s="63" t="n"/>
      <c r="J19" s="64">
        <f>IF(AND(H19&lt;&gt;"",I19&lt;&gt;""),DAYS(I19,H19)+1,"")</f>
        <v/>
      </c>
      <c r="K19" s="65" t="n">
        <v>0</v>
      </c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66" t="n"/>
      <c r="BJ19" s="66" t="n"/>
      <c r="BK19" s="66" t="n"/>
      <c r="BL19" s="66" t="n"/>
      <c r="BM19" s="66" t="n"/>
      <c r="BN19" s="66" t="n"/>
      <c r="BO19" s="66" t="n"/>
      <c r="BP19" s="66" t="n"/>
      <c r="BQ19" s="66" t="n"/>
      <c r="BR19" s="66" t="n"/>
      <c r="BS19" s="66" t="n"/>
    </row>
    <row r="20">
      <c r="A20" s="1" t="n"/>
      <c r="B20" s="59" t="inlineStr">
        <is>
          <t>2.5</t>
        </is>
      </c>
      <c r="C20" s="60" t="inlineStr">
        <is>
          <t>（フェーズ名）</t>
        </is>
      </c>
      <c r="D20" s="61" t="inlineStr">
        <is>
          <t>（タスク名）</t>
        </is>
      </c>
      <c r="E20" s="61" t="inlineStr">
        <is>
          <t>（定義・完了条件）</t>
        </is>
      </c>
      <c r="F20" s="62" t="n"/>
      <c r="G20" s="60" t="inlineStr">
        <is>
          <t>（成果物）</t>
        </is>
      </c>
      <c r="H20" s="63" t="n"/>
      <c r="I20" s="63" t="n"/>
      <c r="J20" s="64">
        <f>IF(AND(H20&lt;&gt;"",I20&lt;&gt;""),DAYS(I20,H20)+1,"")</f>
        <v/>
      </c>
      <c r="K20" s="65" t="n">
        <v>0</v>
      </c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66" t="n"/>
      <c r="BJ20" s="66" t="n"/>
      <c r="BK20" s="66" t="n"/>
      <c r="BL20" s="66" t="n"/>
      <c r="BM20" s="66" t="n"/>
      <c r="BN20" s="66" t="n"/>
      <c r="BO20" s="66" t="n"/>
      <c r="BP20" s="66" t="n"/>
      <c r="BQ20" s="66" t="n"/>
      <c r="BR20" s="66" t="n"/>
      <c r="BS20" s="66" t="n"/>
    </row>
    <row r="21">
      <c r="A21" s="1" t="n"/>
      <c r="B21" s="59" t="inlineStr">
        <is>
          <t>2.6</t>
        </is>
      </c>
      <c r="C21" s="60" t="inlineStr">
        <is>
          <t>（フェーズ名）</t>
        </is>
      </c>
      <c r="D21" s="61" t="inlineStr">
        <is>
          <t>（タスク名）</t>
        </is>
      </c>
      <c r="E21" s="61" t="inlineStr">
        <is>
          <t>（定義・完了条件）</t>
        </is>
      </c>
      <c r="F21" s="62" t="n"/>
      <c r="G21" s="60" t="inlineStr">
        <is>
          <t>（成果物）</t>
        </is>
      </c>
      <c r="H21" s="63" t="n"/>
      <c r="I21" s="63" t="n"/>
      <c r="J21" s="64">
        <f>IF(AND(H21&lt;&gt;"",I21&lt;&gt;""),DAYS(I21,H21)+1,"")</f>
        <v/>
      </c>
      <c r="K21" s="65" t="n">
        <v>0</v>
      </c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66" t="n"/>
      <c r="BJ21" s="66" t="n"/>
      <c r="BK21" s="66" t="n"/>
      <c r="BL21" s="66" t="n"/>
      <c r="BM21" s="66" t="n"/>
      <c r="BN21" s="66" t="n"/>
      <c r="BO21" s="66" t="n"/>
      <c r="BP21" s="66" t="n"/>
      <c r="BQ21" s="66" t="n"/>
      <c r="BR21" s="66" t="n"/>
      <c r="BS21" s="66" t="n"/>
    </row>
    <row r="22">
      <c r="A22" s="1" t="n"/>
      <c r="B22" s="53" t="inlineStr">
        <is>
          <t>3</t>
        </is>
      </c>
      <c r="C22" s="54" t="inlineStr">
        <is>
          <t>（フェーズ名）</t>
        </is>
      </c>
      <c r="D22" s="54" t="inlineStr">
        <is>
          <t>（フェーズの目的）</t>
        </is>
      </c>
      <c r="E22" s="54" t="inlineStr">
        <is>
          <t>（完了条件）</t>
        </is>
      </c>
      <c r="F22" s="54" t="n"/>
      <c r="G22" s="54" t="n"/>
      <c r="H22" s="55" t="n"/>
      <c r="I22" s="55" t="n"/>
      <c r="J22" s="56" t="n"/>
      <c r="K22" s="57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8" t="n"/>
      <c r="AT22" s="58" t="n"/>
      <c r="AU22" s="58" t="n"/>
      <c r="AV22" s="58" t="n"/>
      <c r="AW22" s="58" t="n"/>
      <c r="AX22" s="58" t="n"/>
      <c r="AY22" s="58" t="n"/>
      <c r="AZ22" s="58" t="n"/>
      <c r="BA22" s="58" t="n"/>
      <c r="BB22" s="58" t="n"/>
      <c r="BC22" s="58" t="n"/>
      <c r="BD22" s="58" t="n"/>
      <c r="BE22" s="58" t="n"/>
      <c r="BF22" s="58" t="n"/>
      <c r="BG22" s="58" t="n"/>
      <c r="BH22" s="58" t="n"/>
      <c r="BI22" s="58" t="n"/>
      <c r="BJ22" s="58" t="n"/>
      <c r="BK22" s="58" t="n"/>
      <c r="BL22" s="58" t="n"/>
      <c r="BM22" s="58" t="n"/>
      <c r="BN22" s="58" t="n"/>
      <c r="BO22" s="58" t="n"/>
      <c r="BP22" s="58" t="n"/>
      <c r="BQ22" s="58" t="n"/>
      <c r="BR22" s="58" t="n"/>
      <c r="BS22" s="58" t="n"/>
    </row>
    <row r="23">
      <c r="A23" s="1" t="n"/>
      <c r="B23" s="59" t="inlineStr">
        <is>
          <t>3.1</t>
        </is>
      </c>
      <c r="C23" s="60" t="inlineStr">
        <is>
          <t>（フェーズ名）</t>
        </is>
      </c>
      <c r="D23" s="61" t="inlineStr">
        <is>
          <t>（タスク名）</t>
        </is>
      </c>
      <c r="E23" s="61" t="inlineStr">
        <is>
          <t>（定義・完了条件）</t>
        </is>
      </c>
      <c r="F23" s="62" t="n"/>
      <c r="G23" s="60" t="inlineStr">
        <is>
          <t>（成果物）</t>
        </is>
      </c>
      <c r="H23" s="63" t="n"/>
      <c r="I23" s="63" t="n"/>
      <c r="J23" s="64">
        <f>IF(AND(H23&lt;&gt;"",I23&lt;&gt;""),DAYS(I23,H23)+1,"")</f>
        <v/>
      </c>
      <c r="K23" s="65" t="n">
        <v>0</v>
      </c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66" t="n"/>
      <c r="BJ23" s="66" t="n"/>
      <c r="BK23" s="66" t="n"/>
      <c r="BL23" s="66" t="n"/>
      <c r="BM23" s="66" t="n"/>
      <c r="BN23" s="66" t="n"/>
      <c r="BO23" s="66" t="n"/>
      <c r="BP23" s="66" t="n"/>
      <c r="BQ23" s="66" t="n"/>
      <c r="BR23" s="66" t="n"/>
      <c r="BS23" s="66" t="n"/>
    </row>
    <row r="24">
      <c r="A24" s="1" t="n"/>
      <c r="B24" s="59" t="inlineStr">
        <is>
          <t>3.2</t>
        </is>
      </c>
      <c r="C24" s="60" t="inlineStr">
        <is>
          <t>（フェーズ名）</t>
        </is>
      </c>
      <c r="D24" s="61" t="inlineStr">
        <is>
          <t>（タスク名）</t>
        </is>
      </c>
      <c r="E24" s="61" t="inlineStr">
        <is>
          <t>（定義・完了条件）</t>
        </is>
      </c>
      <c r="F24" s="62" t="n"/>
      <c r="G24" s="60" t="inlineStr">
        <is>
          <t>（成果物）</t>
        </is>
      </c>
      <c r="H24" s="63" t="n"/>
      <c r="I24" s="63" t="n"/>
      <c r="J24" s="64">
        <f>IF(AND(H24&lt;&gt;"",I24&lt;&gt;""),DAYS(I24,H24)+1,"")</f>
        <v/>
      </c>
      <c r="K24" s="65" t="n">
        <v>0</v>
      </c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66" t="n"/>
      <c r="BJ24" s="66" t="n"/>
      <c r="BK24" s="66" t="n"/>
      <c r="BL24" s="66" t="n"/>
      <c r="BM24" s="66" t="n"/>
      <c r="BN24" s="66" t="n"/>
      <c r="BO24" s="66" t="n"/>
      <c r="BP24" s="66" t="n"/>
      <c r="BQ24" s="66" t="n"/>
      <c r="BR24" s="66" t="n"/>
      <c r="BS24" s="66" t="n"/>
    </row>
    <row r="25">
      <c r="A25" s="1" t="n"/>
      <c r="B25" s="59" t="inlineStr">
        <is>
          <t>3.3</t>
        </is>
      </c>
      <c r="C25" s="60" t="inlineStr">
        <is>
          <t>（フェーズ名）</t>
        </is>
      </c>
      <c r="D25" s="61" t="inlineStr">
        <is>
          <t>（タスク名）</t>
        </is>
      </c>
      <c r="E25" s="61" t="inlineStr">
        <is>
          <t>（定義・完了条件）</t>
        </is>
      </c>
      <c r="F25" s="62" t="n"/>
      <c r="G25" s="60" t="inlineStr">
        <is>
          <t>（成果物）</t>
        </is>
      </c>
      <c r="H25" s="63" t="n"/>
      <c r="I25" s="63" t="n"/>
      <c r="J25" s="64">
        <f>IF(AND(H25&lt;&gt;"",I25&lt;&gt;""),DAYS(I25,H25)+1,"")</f>
        <v/>
      </c>
      <c r="K25" s="65" t="n">
        <v>0</v>
      </c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66" t="n"/>
      <c r="BJ25" s="66" t="n"/>
      <c r="BK25" s="66" t="n"/>
      <c r="BL25" s="66" t="n"/>
      <c r="BM25" s="66" t="n"/>
      <c r="BN25" s="66" t="n"/>
      <c r="BO25" s="66" t="n"/>
      <c r="BP25" s="66" t="n"/>
      <c r="BQ25" s="66" t="n"/>
      <c r="BR25" s="66" t="n"/>
      <c r="BS25" s="66" t="n"/>
    </row>
    <row r="26">
      <c r="A26" s="1" t="n"/>
      <c r="B26" s="59" t="inlineStr">
        <is>
          <t>3.4</t>
        </is>
      </c>
      <c r="C26" s="60" t="inlineStr">
        <is>
          <t>（フェーズ名）</t>
        </is>
      </c>
      <c r="D26" s="61" t="inlineStr">
        <is>
          <t>（タスク名）</t>
        </is>
      </c>
      <c r="E26" s="61" t="inlineStr">
        <is>
          <t>（定義・完了条件）</t>
        </is>
      </c>
      <c r="F26" s="62" t="n"/>
      <c r="G26" s="60" t="inlineStr">
        <is>
          <t>（成果物）</t>
        </is>
      </c>
      <c r="H26" s="63" t="n"/>
      <c r="I26" s="63" t="n"/>
      <c r="J26" s="64">
        <f>IF(AND(H26&lt;&gt;"",I26&lt;&gt;""),DAYS(I26,H26)+1,"")</f>
        <v/>
      </c>
      <c r="K26" s="65" t="n">
        <v>0</v>
      </c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66" t="n"/>
      <c r="BJ26" s="66" t="n"/>
      <c r="BK26" s="66" t="n"/>
      <c r="BL26" s="66" t="n"/>
      <c r="BM26" s="66" t="n"/>
      <c r="BN26" s="66" t="n"/>
      <c r="BO26" s="66" t="n"/>
      <c r="BP26" s="66" t="n"/>
      <c r="BQ26" s="66" t="n"/>
      <c r="BR26" s="66" t="n"/>
      <c r="BS26" s="66" t="n"/>
    </row>
    <row r="27">
      <c r="A27" s="1" t="n"/>
      <c r="B27" s="59" t="inlineStr">
        <is>
          <t>3.5</t>
        </is>
      </c>
      <c r="C27" s="60" t="inlineStr">
        <is>
          <t>（フェーズ名）</t>
        </is>
      </c>
      <c r="D27" s="61" t="inlineStr">
        <is>
          <t>（タスク名）</t>
        </is>
      </c>
      <c r="E27" s="61" t="inlineStr">
        <is>
          <t>（定義・完了条件）</t>
        </is>
      </c>
      <c r="F27" s="62" t="n"/>
      <c r="G27" s="60" t="inlineStr">
        <is>
          <t>（成果物）</t>
        </is>
      </c>
      <c r="H27" s="63" t="n"/>
      <c r="I27" s="63" t="n"/>
      <c r="J27" s="64">
        <f>IF(AND(H27&lt;&gt;"",I27&lt;&gt;""),DAYS(I27,H27)+1,"")</f>
        <v/>
      </c>
      <c r="K27" s="65" t="n">
        <v>0</v>
      </c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66" t="n"/>
      <c r="BJ27" s="66" t="n"/>
      <c r="BK27" s="66" t="n"/>
      <c r="BL27" s="66" t="n"/>
      <c r="BM27" s="66" t="n"/>
      <c r="BN27" s="66" t="n"/>
      <c r="BO27" s="66" t="n"/>
      <c r="BP27" s="66" t="n"/>
      <c r="BQ27" s="66" t="n"/>
      <c r="BR27" s="66" t="n"/>
      <c r="BS27" s="66" t="n"/>
    </row>
    <row r="28">
      <c r="A28" s="1" t="n"/>
      <c r="B28" s="59" t="inlineStr">
        <is>
          <t>3.6</t>
        </is>
      </c>
      <c r="C28" s="60" t="inlineStr">
        <is>
          <t>（フェーズ名）</t>
        </is>
      </c>
      <c r="D28" s="61" t="inlineStr">
        <is>
          <t>（タスク名）</t>
        </is>
      </c>
      <c r="E28" s="61" t="inlineStr">
        <is>
          <t>（定義・完了条件）</t>
        </is>
      </c>
      <c r="F28" s="62" t="n"/>
      <c r="G28" s="60" t="inlineStr">
        <is>
          <t>（成果物）</t>
        </is>
      </c>
      <c r="H28" s="63" t="n"/>
      <c r="I28" s="63" t="n"/>
      <c r="J28" s="64">
        <f>IF(AND(H28&lt;&gt;"",I28&lt;&gt;""),DAYS(I28,H28)+1,"")</f>
        <v/>
      </c>
      <c r="K28" s="65" t="n">
        <v>0</v>
      </c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66" t="n"/>
      <c r="BJ28" s="66" t="n"/>
      <c r="BK28" s="66" t="n"/>
      <c r="BL28" s="66" t="n"/>
      <c r="BM28" s="66" t="n"/>
      <c r="BN28" s="66" t="n"/>
      <c r="BO28" s="66" t="n"/>
      <c r="BP28" s="66" t="n"/>
      <c r="BQ28" s="66" t="n"/>
      <c r="BR28" s="66" t="n"/>
      <c r="BS28" s="66" t="n"/>
    </row>
    <row r="29">
      <c r="A29" s="1" t="n"/>
      <c r="B29" s="53" t="inlineStr">
        <is>
          <t>4</t>
        </is>
      </c>
      <c r="C29" s="54" t="inlineStr">
        <is>
          <t>（フェーズ名）</t>
        </is>
      </c>
      <c r="D29" s="54" t="inlineStr">
        <is>
          <t>（フェーズの目的）</t>
        </is>
      </c>
      <c r="E29" s="54" t="inlineStr">
        <is>
          <t>（完了条件）</t>
        </is>
      </c>
      <c r="F29" s="54" t="n"/>
      <c r="G29" s="54" t="n"/>
      <c r="H29" s="55" t="n"/>
      <c r="I29" s="55" t="n"/>
      <c r="J29" s="56" t="n"/>
      <c r="K29" s="57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58" t="n"/>
      <c r="X29" s="58" t="n"/>
      <c r="Y29" s="58" t="n"/>
      <c r="Z29" s="58" t="n"/>
      <c r="AA29" s="58" t="n"/>
      <c r="AB29" s="58" t="n"/>
      <c r="AC29" s="58" t="n"/>
      <c r="AD29" s="58" t="n"/>
      <c r="AE29" s="58" t="n"/>
      <c r="AF29" s="58" t="n"/>
      <c r="AG29" s="58" t="n"/>
      <c r="AH29" s="58" t="n"/>
      <c r="AI29" s="58" t="n"/>
      <c r="AJ29" s="58" t="n"/>
      <c r="AK29" s="58" t="n"/>
      <c r="AL29" s="58" t="n"/>
      <c r="AM29" s="58" t="n"/>
      <c r="AN29" s="58" t="n"/>
      <c r="AO29" s="58" t="n"/>
      <c r="AP29" s="58" t="n"/>
      <c r="AQ29" s="58" t="n"/>
      <c r="AR29" s="58" t="n"/>
      <c r="AS29" s="58" t="n"/>
      <c r="AT29" s="58" t="n"/>
      <c r="AU29" s="58" t="n"/>
      <c r="AV29" s="58" t="n"/>
      <c r="AW29" s="58" t="n"/>
      <c r="AX29" s="58" t="n"/>
      <c r="AY29" s="58" t="n"/>
      <c r="AZ29" s="58" t="n"/>
      <c r="BA29" s="58" t="n"/>
      <c r="BB29" s="58" t="n"/>
      <c r="BC29" s="58" t="n"/>
      <c r="BD29" s="58" t="n"/>
      <c r="BE29" s="58" t="n"/>
      <c r="BF29" s="58" t="n"/>
      <c r="BG29" s="58" t="n"/>
      <c r="BH29" s="58" t="n"/>
      <c r="BI29" s="58" t="n"/>
      <c r="BJ29" s="58" t="n"/>
      <c r="BK29" s="58" t="n"/>
      <c r="BL29" s="58" t="n"/>
      <c r="BM29" s="58" t="n"/>
      <c r="BN29" s="58" t="n"/>
      <c r="BO29" s="58" t="n"/>
      <c r="BP29" s="58" t="n"/>
      <c r="BQ29" s="58" t="n"/>
      <c r="BR29" s="58" t="n"/>
      <c r="BS29" s="58" t="n"/>
    </row>
    <row r="30">
      <c r="A30" s="1" t="n"/>
      <c r="B30" s="59" t="inlineStr">
        <is>
          <t>4.1</t>
        </is>
      </c>
      <c r="C30" s="60" t="inlineStr">
        <is>
          <t>（フェーズ名）</t>
        </is>
      </c>
      <c r="D30" s="61" t="inlineStr">
        <is>
          <t>（タスク名）</t>
        </is>
      </c>
      <c r="E30" s="61" t="inlineStr">
        <is>
          <t>（定義・完了条件）</t>
        </is>
      </c>
      <c r="F30" s="62" t="n"/>
      <c r="G30" s="60" t="inlineStr">
        <is>
          <t>（成果物）</t>
        </is>
      </c>
      <c r="H30" s="63" t="n"/>
      <c r="I30" s="63" t="n"/>
      <c r="J30" s="64">
        <f>IF(AND(H30&lt;&gt;"",I30&lt;&gt;""),DAYS(I30,H30)+1,"")</f>
        <v/>
      </c>
      <c r="K30" s="65" t="n">
        <v>0</v>
      </c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66" t="n"/>
      <c r="BJ30" s="66" t="n"/>
      <c r="BK30" s="66" t="n"/>
      <c r="BL30" s="66" t="n"/>
      <c r="BM30" s="66" t="n"/>
      <c r="BN30" s="66" t="n"/>
      <c r="BO30" s="66" t="n"/>
      <c r="BP30" s="66" t="n"/>
      <c r="BQ30" s="66" t="n"/>
      <c r="BR30" s="66" t="n"/>
      <c r="BS30" s="66" t="n"/>
    </row>
    <row r="31">
      <c r="A31" s="1" t="n"/>
      <c r="B31" s="59" t="inlineStr">
        <is>
          <t>4.2</t>
        </is>
      </c>
      <c r="C31" s="60" t="inlineStr">
        <is>
          <t>（フェーズ名）</t>
        </is>
      </c>
      <c r="D31" s="61" t="inlineStr">
        <is>
          <t>（タスク名）</t>
        </is>
      </c>
      <c r="E31" s="61" t="inlineStr">
        <is>
          <t>（定義・完了条件）</t>
        </is>
      </c>
      <c r="F31" s="62" t="n"/>
      <c r="G31" s="60" t="inlineStr">
        <is>
          <t>（成果物）</t>
        </is>
      </c>
      <c r="H31" s="63" t="n"/>
      <c r="I31" s="63" t="n"/>
      <c r="J31" s="64">
        <f>IF(AND(H31&lt;&gt;"",I31&lt;&gt;""),DAYS(I31,H31)+1,"")</f>
        <v/>
      </c>
      <c r="K31" s="65" t="n">
        <v>0</v>
      </c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66" t="n"/>
      <c r="BJ31" s="66" t="n"/>
      <c r="BK31" s="66" t="n"/>
      <c r="BL31" s="66" t="n"/>
      <c r="BM31" s="66" t="n"/>
      <c r="BN31" s="66" t="n"/>
      <c r="BO31" s="66" t="n"/>
      <c r="BP31" s="66" t="n"/>
      <c r="BQ31" s="66" t="n"/>
      <c r="BR31" s="66" t="n"/>
      <c r="BS31" s="66" t="n"/>
    </row>
    <row r="32">
      <c r="A32" s="1" t="n"/>
      <c r="B32" s="59" t="inlineStr">
        <is>
          <t>4.3</t>
        </is>
      </c>
      <c r="C32" s="60" t="inlineStr">
        <is>
          <t>（フェーズ名）</t>
        </is>
      </c>
      <c r="D32" s="61" t="inlineStr">
        <is>
          <t>（タスク名）</t>
        </is>
      </c>
      <c r="E32" s="61" t="inlineStr">
        <is>
          <t>（定義・完了条件）</t>
        </is>
      </c>
      <c r="F32" s="62" t="n"/>
      <c r="G32" s="60" t="inlineStr">
        <is>
          <t>（成果物）</t>
        </is>
      </c>
      <c r="H32" s="63" t="n"/>
      <c r="I32" s="63" t="n"/>
      <c r="J32" s="64">
        <f>IF(AND(H32&lt;&gt;"",I32&lt;&gt;""),DAYS(I32,H32)+1,"")</f>
        <v/>
      </c>
      <c r="K32" s="65" t="n">
        <v>0</v>
      </c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66" t="n"/>
      <c r="BJ32" s="66" t="n"/>
      <c r="BK32" s="66" t="n"/>
      <c r="BL32" s="66" t="n"/>
      <c r="BM32" s="66" t="n"/>
      <c r="BN32" s="66" t="n"/>
      <c r="BO32" s="66" t="n"/>
      <c r="BP32" s="66" t="n"/>
      <c r="BQ32" s="66" t="n"/>
      <c r="BR32" s="66" t="n"/>
      <c r="BS32" s="66" t="n"/>
    </row>
    <row r="33">
      <c r="A33" s="1" t="n"/>
      <c r="B33" s="59" t="inlineStr">
        <is>
          <t>4.4</t>
        </is>
      </c>
      <c r="C33" s="60" t="inlineStr">
        <is>
          <t>（フェーズ名）</t>
        </is>
      </c>
      <c r="D33" s="61" t="inlineStr">
        <is>
          <t>（タスク名）</t>
        </is>
      </c>
      <c r="E33" s="61" t="inlineStr">
        <is>
          <t>（定義・完了条件）</t>
        </is>
      </c>
      <c r="F33" s="62" t="n"/>
      <c r="G33" s="60" t="inlineStr">
        <is>
          <t>（成果物）</t>
        </is>
      </c>
      <c r="H33" s="63" t="n"/>
      <c r="I33" s="63" t="n"/>
      <c r="J33" s="64">
        <f>IF(AND(H33&lt;&gt;"",I33&lt;&gt;""),DAYS(I33,H33)+1,"")</f>
        <v/>
      </c>
      <c r="K33" s="65" t="n">
        <v>0</v>
      </c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66" t="n"/>
      <c r="BJ33" s="66" t="n"/>
      <c r="BK33" s="66" t="n"/>
      <c r="BL33" s="66" t="n"/>
      <c r="BM33" s="66" t="n"/>
      <c r="BN33" s="66" t="n"/>
      <c r="BO33" s="66" t="n"/>
      <c r="BP33" s="66" t="n"/>
      <c r="BQ33" s="66" t="n"/>
      <c r="BR33" s="66" t="n"/>
      <c r="BS33" s="66" t="n"/>
    </row>
    <row r="34">
      <c r="A34" s="1" t="n"/>
      <c r="B34" s="59" t="inlineStr">
        <is>
          <t>4.5</t>
        </is>
      </c>
      <c r="C34" s="60" t="inlineStr">
        <is>
          <t>（フェーズ名）</t>
        </is>
      </c>
      <c r="D34" s="61" t="inlineStr">
        <is>
          <t>（タスク名）</t>
        </is>
      </c>
      <c r="E34" s="61" t="inlineStr">
        <is>
          <t>（定義・完了条件）</t>
        </is>
      </c>
      <c r="F34" s="62" t="n"/>
      <c r="G34" s="60" t="inlineStr">
        <is>
          <t>（成果物）</t>
        </is>
      </c>
      <c r="H34" s="63" t="n"/>
      <c r="I34" s="63" t="n"/>
      <c r="J34" s="64">
        <f>IF(AND(H34&lt;&gt;"",I34&lt;&gt;""),DAYS(I34,H34)+1,"")</f>
        <v/>
      </c>
      <c r="K34" s="65" t="n">
        <v>0</v>
      </c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66" t="n"/>
      <c r="BJ34" s="66" t="n"/>
      <c r="BK34" s="66" t="n"/>
      <c r="BL34" s="66" t="n"/>
      <c r="BM34" s="66" t="n"/>
      <c r="BN34" s="66" t="n"/>
      <c r="BO34" s="66" t="n"/>
      <c r="BP34" s="66" t="n"/>
      <c r="BQ34" s="66" t="n"/>
      <c r="BR34" s="66" t="n"/>
      <c r="BS34" s="66" t="n"/>
    </row>
    <row r="35">
      <c r="A35" s="1" t="n"/>
      <c r="B35" s="59" t="inlineStr">
        <is>
          <t>4.6</t>
        </is>
      </c>
      <c r="C35" s="60" t="inlineStr">
        <is>
          <t>（フェーズ名）</t>
        </is>
      </c>
      <c r="D35" s="61" t="inlineStr">
        <is>
          <t>（タスク名）</t>
        </is>
      </c>
      <c r="E35" s="61" t="inlineStr">
        <is>
          <t>（定義・完了条件）</t>
        </is>
      </c>
      <c r="F35" s="62" t="n"/>
      <c r="G35" s="60" t="inlineStr">
        <is>
          <t>（成果物）</t>
        </is>
      </c>
      <c r="H35" s="63" t="n"/>
      <c r="I35" s="63" t="n"/>
      <c r="J35" s="64">
        <f>IF(AND(H35&lt;&gt;"",I35&lt;&gt;""),DAYS(I35,H35)+1,"")</f>
        <v/>
      </c>
      <c r="K35" s="65" t="n">
        <v>0</v>
      </c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66" t="n"/>
      <c r="BJ35" s="66" t="n"/>
      <c r="BK35" s="66" t="n"/>
      <c r="BL35" s="66" t="n"/>
      <c r="BM35" s="66" t="n"/>
      <c r="BN35" s="66" t="n"/>
      <c r="BO35" s="66" t="n"/>
      <c r="BP35" s="66" t="n"/>
      <c r="BQ35" s="66" t="n"/>
      <c r="BR35" s="66" t="n"/>
      <c r="BS35" s="66" t="n"/>
    </row>
  </sheetData>
  <mergeCells count="12">
    <mergeCell ref="I5:I7"/>
    <mergeCell ref="B5:B7"/>
    <mergeCell ref="D5:D7"/>
    <mergeCell ref="C5:C7"/>
    <mergeCell ref="G5:G7"/>
    <mergeCell ref="E5:E7"/>
    <mergeCell ref="K5:K7"/>
    <mergeCell ref="H5:H7"/>
    <mergeCell ref="F5:F7"/>
    <mergeCell ref="C3:D3"/>
    <mergeCell ref="J5:J7"/>
    <mergeCell ref="B2:J2"/>
  </mergeCells>
  <conditionalFormatting sqref="L8:BS35">
    <cfRule type="expression" priority="1" dxfId="0">
      <formula>AND($H8&lt;&gt;"",$I8&lt;&gt;"",L$6&gt;=$H8,L$6&lt;=$I8)</formula>
    </cfRule>
  </conditionalFormatting>
  <dataValidations count="1">
    <dataValidation sqref="F8:F35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2026-10-03T17:18:21Z</dcterms:created>
  <dcterms:modified xsi:type="dcterms:W3CDTF">2026-10-03T17:18:22Z</dcterms:modified>
</cp:coreProperties>
</file>